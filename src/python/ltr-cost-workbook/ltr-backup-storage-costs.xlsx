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rameters" sheetId="2" state="visible" r:id="rId2"/>
    <sheet xmlns:r="http://schemas.openxmlformats.org/officeDocument/2006/relationships" name="Prices" sheetId="3" state="visible" r:id="rId3"/>
    <sheet xmlns:r="http://schemas.openxmlformats.org/officeDocument/2006/relationships" name="Cost matrix" sheetId="4" state="visible" r:id="rId4"/>
    <sheet xmlns:r="http://schemas.openxmlformats.org/officeDocument/2006/relationships" name="Tier comparison" sheetId="5" state="visible" r:id="rId5"/>
    <sheet xmlns:r="http://schemas.openxmlformats.org/officeDocument/2006/relationships" name="Compression sensitivity" sheetId="6" state="visible" r:id="rId6"/>
  </sheets>
  <definedNames/>
  <calcPr calcId="124519" fullCalcOnLoad="1"/>
</workbook>
</file>

<file path=xl/styles.xml><?xml version="1.0" encoding="utf-8"?>
<styleSheet xmlns="http://schemas.openxmlformats.org/spreadsheetml/2006/main">
  <numFmts count="5">
    <numFmt numFmtId="164" formatCode="&quot;$&quot;#,##0.000000"/>
    <numFmt numFmtId="165" formatCode="&quot;$&quot;#,##0.0000"/>
    <numFmt numFmtId="166" formatCode="&quot;$&quot;#,##0.00"/>
    <numFmt numFmtId="167" formatCode="0.0%"/>
    <numFmt numFmtId="168" formatCode="0.0&quot;x&quot;"/>
  </numFmts>
  <fonts count="8">
    <font>
      <name val="Calibri"/>
      <family val="2"/>
      <color theme="1"/>
      <sz val="11"/>
      <scheme val="minor"/>
    </font>
    <font>
      <b val="1"/>
      <color rgb="00FFFFFF"/>
      <sz val="14"/>
    </font>
    <font>
      <b val="1"/>
      <color rgb="001F4E79"/>
    </font>
    <font>
      <i val="1"/>
      <color rgb="00595959"/>
      <sz val="9"/>
    </font>
    <font>
      <b val="1"/>
      <color rgb="00FFFFFF"/>
    </font>
    <font>
      <b val="1"/>
    </font>
    <font>
      <b val="1"/>
      <sz val="12"/>
    </font>
    <font>
      <b val="1"/>
      <color rgb="00FFFFFF"/>
      <sz val="11"/>
    </font>
  </fonts>
  <fills count="9">
    <fill>
      <patternFill/>
    </fill>
    <fill>
      <patternFill patternType="gray125"/>
    </fill>
    <fill>
      <patternFill patternType="solid">
        <fgColor rgb="001F4E79"/>
      </patternFill>
    </fill>
    <fill>
      <patternFill patternType="solid">
        <fgColor rgb="002E75B6"/>
      </patternFill>
    </fill>
    <fill>
      <patternFill patternType="solid">
        <fgColor rgb="00F2F2F2"/>
      </patternFill>
    </fill>
    <fill>
      <patternFill patternType="solid">
        <fgColor rgb="00FFF2CC"/>
      </patternFill>
    </fill>
    <fill>
      <patternFill patternType="solid">
        <fgColor rgb="00E2EFDA"/>
      </patternFill>
    </fill>
    <fill>
      <patternFill patternType="solid">
        <fgColor rgb="00FCE4D6"/>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0" fillId="0" borderId="0" applyAlignment="1" pivotButton="0" quotePrefix="0" xfId="0">
      <alignment vertical="top" wrapText="1"/>
    </xf>
    <xf numFmtId="0" fontId="5" fillId="0" borderId="0" pivotButton="0" quotePrefix="0" xfId="0"/>
    <xf numFmtId="3" fontId="5" fillId="5" borderId="1" pivotButton="0" quotePrefix="0" xfId="0"/>
    <xf numFmtId="0" fontId="3" fillId="0" borderId="0" pivotButton="0" quotePrefix="0" xfId="0"/>
    <xf numFmtId="4" fontId="5" fillId="5" borderId="1" pivotButton="0" quotePrefix="0" xfId="0"/>
    <xf numFmtId="0" fontId="5" fillId="5" borderId="1" pivotButton="0" quotePrefix="0" xfId="0"/>
    <xf numFmtId="164" fontId="0" fillId="6" borderId="1" pivotButton="0" quotePrefix="0" xfId="0"/>
    <xf numFmtId="165" fontId="0" fillId="6" borderId="1" pivotButton="0" quotePrefix="0" xfId="0"/>
    <xf numFmtId="3" fontId="0" fillId="6" borderId="1" pivotButton="0" quotePrefix="0" xfId="0"/>
    <xf numFmtId="166" fontId="0" fillId="6" borderId="1" pivotButton="0" quotePrefix="0" xfId="0"/>
    <xf numFmtId="0" fontId="6" fillId="0" borderId="0" pivotButton="0" quotePrefix="0" xfId="0"/>
    <xf numFmtId="166" fontId="6" fillId="7" borderId="1" pivotButton="0" quotePrefix="0" xfId="0"/>
    <xf numFmtId="167" fontId="0" fillId="6" borderId="1" pivotButton="0" quotePrefix="0" xfId="0"/>
    <xf numFmtId="166" fontId="0" fillId="7" borderId="1" pivotButton="0" quotePrefix="0" xfId="0"/>
    <xf numFmtId="0" fontId="4" fillId="3" borderId="1" applyAlignment="1" pivotButton="0" quotePrefix="0" xfId="0">
      <alignment horizontal="center" wrapText="1"/>
    </xf>
    <xf numFmtId="0" fontId="0" fillId="0" borderId="1" pivotButton="0" quotePrefix="0" xfId="0"/>
    <xf numFmtId="164" fontId="0" fillId="0" borderId="1" pivotButton="0" quotePrefix="0" xfId="0"/>
    <xf numFmtId="165" fontId="0" fillId="0" borderId="1" pivotButton="0" quotePrefix="0" xfId="0"/>
    <xf numFmtId="0" fontId="0" fillId="4" borderId="1" pivotButton="0" quotePrefix="0" xfId="0"/>
    <xf numFmtId="164" fontId="0" fillId="4" borderId="1" pivotButton="0" quotePrefix="0" xfId="0"/>
    <xf numFmtId="165" fontId="0" fillId="4" borderId="1" pivotButton="0" quotePrefix="0" xfId="0"/>
    <xf numFmtId="0" fontId="7" fillId="3" borderId="0" pivotButton="0" quotePrefix="0" xfId="0"/>
    <xf numFmtId="3" fontId="5" fillId="4" borderId="1" pivotButton="0" quotePrefix="0" xfId="0"/>
    <xf numFmtId="166" fontId="0" fillId="0" borderId="1" pivotButton="0" quotePrefix="0" xfId="0"/>
    <xf numFmtId="0" fontId="7" fillId="8" borderId="0" pivotButton="0" quotePrefix="0" xfId="0"/>
    <xf numFmtId="0" fontId="5" fillId="0" borderId="1" pivotButton="0" quotePrefix="0" xfId="0"/>
    <xf numFmtId="166" fontId="5" fillId="0" borderId="1" pivotButton="0" quotePrefix="0" xfId="0"/>
    <xf numFmtId="0" fontId="5" fillId="6" borderId="1" pivotButton="0" quotePrefix="0" xfId="0"/>
    <xf numFmtId="166" fontId="5" fillId="6" borderId="1" pivotButton="0" quotePrefix="0" xfId="0"/>
    <xf numFmtId="0" fontId="3" fillId="0" borderId="0" applyAlignment="1" pivotButton="0" quotePrefix="0" xfId="0">
      <alignment vertical="top" wrapText="1"/>
    </xf>
    <xf numFmtId="4" fontId="0" fillId="0" borderId="1" pivotButton="0" quotePrefix="0" xfId="0"/>
    <xf numFmtId="3" fontId="0" fillId="0" borderId="1" pivotButton="0" quotePrefix="0" xfId="0"/>
    <xf numFmtId="0" fontId="3" fillId="0" borderId="1" pivotButton="0" quotePrefix="0" xfId="0"/>
    <xf numFmtId="4" fontId="0" fillId="7" borderId="1" pivotButton="0" quotePrefix="0" xfId="0"/>
    <xf numFmtId="3" fontId="0" fillId="7" borderId="1" pivotButton="0" quotePrefix="0" xfId="0"/>
    <xf numFmtId="4" fontId="0" fillId="5" borderId="1" pivotButton="0" quotePrefix="0" xfId="0"/>
    <xf numFmtId="3" fontId="0" fillId="5" borderId="1" pivotButton="0" quotePrefix="0" xfId="0"/>
    <xf numFmtId="166" fontId="0" fillId="5" borderId="1" pivotButton="0" quotePrefix="0" xfId="0"/>
    <xf numFmtId="168" fontId="5"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96" customWidth="1" min="2" max="2"/>
  </cols>
  <sheetData>
    <row r="1" ht="24" customHeight="1">
      <c r="A1" s="1" t="inlineStr">
        <is>
          <t>Azure SQL LTR backups: transfer and long-term storage cost</t>
        </is>
      </c>
    </row>
    <row r="3">
      <c r="A3" s="2" t="inlineStr">
        <is>
          <t>What this models</t>
        </is>
      </c>
    </row>
    <row r="4" ht="39" customHeight="1">
      <c r="B4" s="3" t="inlineStr">
        <is>
          <t>The cost of draining Azure SQL Database / Managed Instance long-term retention (LTR) backups into a storage account and keeping them there. Use it when the subscription that owns the LTR backups is going to be deleted.</t>
        </is>
      </c>
    </row>
    <row r="5" ht="39" customHeight="1">
      <c r="B5" s="3" t="inlineStr">
        <is>
          <t>LTR backups survive deletion of the database, the server and the instance. They do NOT survive deletion of the SUBSCRIPTION. If the subscription can be kept alive, you do not need this pipeline at all, and that is almost always the cheaper answer.</t>
        </is>
      </c>
    </row>
    <row r="7">
      <c r="A7" s="2" t="inlineStr">
        <is>
          <t>The transfer answer</t>
        </is>
      </c>
    </row>
    <row r="8" ht="15" customHeight="1">
      <c r="B8" s="3" t="inlineStr">
        <is>
          <t>Transferring the backups into a storage account is FREE in the normal case.</t>
        </is>
      </c>
    </row>
    <row r="9" ht="52" customHeight="1">
      <c r="B9" s="3" t="inlineStr">
        <is>
          <t>Ingress into Azure Storage is never charged. A subscription boundary is not a billing boundary for network traffic; only a REGION boundary is. So if the destination storage account is in the same region as the source, transfer costs $0 even when it belongs to a completely different subscription or tenant.</t>
        </is>
      </c>
    </row>
    <row r="10" ht="26" customHeight="1">
      <c r="B10" s="3" t="inlineStr">
        <is>
          <t>You only pay if you cross regions ($0.02/GB) or send the data out to the internet ($0.087/GB). Write operations cost a few cents and are included for completeness.</t>
        </is>
      </c>
    </row>
    <row r="12">
      <c r="A12" s="2" t="inlineStr">
        <is>
          <t>The real cost</t>
        </is>
      </c>
    </row>
    <row r="13" ht="26" customHeight="1">
      <c r="B13" s="3" t="inlineStr">
        <is>
          <t>Long-term storage dominates, typically by a factor of 50 or more over everything else. The two levers that matter are the storage TIER and the COMPRESSION RATIO.</t>
        </is>
      </c>
    </row>
    <row r="15">
      <c r="A15" s="2" t="inlineStr">
        <is>
          <t>How to use it</t>
        </is>
      </c>
    </row>
    <row r="16" ht="15" customHeight="1">
      <c r="B16" s="3" t="inlineStr">
        <is>
          <t>1. Open 'Parameters' and set the yellow cells. Everything else recalculates.</t>
        </is>
      </c>
    </row>
    <row r="17" ht="15" customHeight="1">
      <c r="B17" s="3" t="inlineStr">
        <is>
          <t>2. 'Cost matrix' sweeps backup count against database size.</t>
        </is>
      </c>
    </row>
    <row r="18" ht="26" customHeight="1">
      <c r="B18" s="3" t="inlineStr">
        <is>
          <t>3. 'Tier comparison' shows what each storage tier costs for your scenario, including what it costs to read the data back.</t>
        </is>
      </c>
    </row>
    <row r="19" ht="26" customHeight="1">
      <c r="B19" s="3" t="inlineStr">
        <is>
          <t>4. 'Compression sensitivity' shows how much the answer moves with the one number nobody has measured yet.</t>
        </is>
      </c>
    </row>
    <row r="21">
      <c r="A21" s="2" t="inlineStr">
        <is>
          <t>Confidence</t>
        </is>
      </c>
    </row>
    <row r="22" ht="26" customHeight="1">
      <c r="B22" s="3" t="inlineStr">
        <is>
          <t>VERIFIED: all prices, taken from the Azure retail prices API (see 'Prices' for the exact retrieval timestamp). Transfer and storage arithmetic.</t>
        </is>
      </c>
    </row>
    <row r="23" ht="39" customHeight="1">
      <c r="B23" s="3" t="inlineStr">
        <is>
          <t>ASSUMED: the compression ratio. This is the weakest input and it drives the largest term. Measured ratios in testing ranged from 1.02x on incompressible data to 33x on highly repetitive data, against a default assumption of 4x. Budget with the worst ratio you actually observe.</t>
        </is>
      </c>
    </row>
    <row r="24" ht="26" customHeight="1">
      <c r="B24" s="3" t="inlineStr">
        <is>
          <t>EXCLUDED: the compute cost of restoring each backup before exporting it. It is small and one-time. See Get-LtrExportCostEstimate.ps1 in the toolkit for that half.</t>
        </is>
      </c>
    </row>
    <row r="26" ht="15" customHeight="1">
      <c r="A26" s="2" t="inlineStr">
        <is>
          <t>Prices retrieved</t>
        </is>
      </c>
      <c r="B26" s="3" t="inlineStr">
        <is>
          <t>2026-09-10T06:32:45.497151+00:00  |  region: eastus  |  USD</t>
        </is>
      </c>
    </row>
    <row r="27" ht="15" customHeight="1">
      <c r="A27" s="2" t="inlineStr">
        <is>
          <t>Caveat</t>
        </is>
      </c>
      <c r="B27" s="3" t="inlineStr">
        <is>
          <t>Retail prices exclude any enterprise agreement discount, reservation or credit.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44" customWidth="1" min="1" max="1"/>
    <col width="16" customWidth="1" min="2" max="2"/>
    <col width="66" customWidth="1" min="3" max="3"/>
    <col width="4" customWidth="1" min="4" max="4"/>
  </cols>
  <sheetData>
    <row r="1" ht="24" customHeight="1">
      <c r="A1" s="1" t="inlineStr">
        <is>
          <t>Parameters  (edit the yellow cells)</t>
        </is>
      </c>
    </row>
    <row r="3">
      <c r="A3" s="2" t="inlineStr">
        <is>
          <t>INPUTS</t>
        </is>
      </c>
    </row>
    <row r="4">
      <c r="A4" s="4" t="inlineStr">
        <is>
          <t>Number of LTR backups</t>
        </is>
      </c>
      <c r="B4" s="5" t="n">
        <v>60</v>
      </c>
      <c r="C4" s="6" t="inlineStr">
        <is>
          <t>How many restore points you must preserve.</t>
        </is>
      </c>
    </row>
    <row r="5">
      <c r="A5" s="4" t="inlineStr">
        <is>
          <t>Average database size (GB)</t>
        </is>
      </c>
      <c r="B5" s="7" t="n">
        <v>50</v>
      </c>
      <c r="C5" s="6" t="inlineStr">
        <is>
          <t>Source size, before compression.</t>
        </is>
      </c>
    </row>
    <row r="6">
      <c r="A6" s="4" t="inlineStr">
        <is>
          <t>Compression ratio</t>
        </is>
      </c>
      <c r="B6" s="7" t="n">
        <v>4</v>
      </c>
      <c r="C6" s="6" t="inlineStr">
        <is>
          <t>Source GB per artifact GB. THE weakest assumption. Measured 1.02x to 33x.</t>
        </is>
      </c>
    </row>
    <row r="7">
      <c r="A7" s="4" t="inlineStr">
        <is>
          <t>Retention (months)</t>
        </is>
      </c>
      <c r="B7" s="5" t="n">
        <v>84</v>
      </c>
      <c r="C7" s="6" t="inlineStr">
        <is>
          <t>84 = 7 years.</t>
        </is>
      </c>
    </row>
    <row r="8">
      <c r="A8" s="4" t="inlineStr">
        <is>
          <t>Storage tier</t>
        </is>
      </c>
      <c r="B8" s="8" t="inlineStr">
        <is>
          <t>Archive</t>
        </is>
      </c>
      <c r="C8" s="6" t="inlineStr">
        <is>
          <t>Hot / Cool / Cold / Archive.</t>
        </is>
      </c>
    </row>
    <row r="9">
      <c r="A9" s="4" t="inlineStr">
        <is>
          <t>Redundancy</t>
        </is>
      </c>
      <c r="B9" s="8" t="inlineStr">
        <is>
          <t>LRS</t>
        </is>
      </c>
      <c r="C9" s="6" t="inlineStr">
        <is>
          <t>LRS / ZRS / GRS / GZRS / RA-GRS / RA-GZRS.</t>
        </is>
      </c>
    </row>
    <row r="10">
      <c r="A10" s="4" t="inlineStr">
        <is>
          <t>Artifact destination</t>
        </is>
      </c>
      <c r="B10" s="8" t="inlineStr">
        <is>
          <t>Same region (any subscription)</t>
        </is>
      </c>
      <c r="C10" s="6" t="inlineStr">
        <is>
          <t>Same region is free, even across subscriptions.</t>
        </is>
      </c>
    </row>
    <row r="11">
      <c r="A11" s="4" t="inlineStr">
        <is>
          <t>Upload block size (MB)</t>
        </is>
      </c>
      <c r="B11" s="5" t="n">
        <v>4</v>
      </c>
      <c r="C11" s="6" t="inlineStr">
        <is>
          <t>MI BACKUP TO URL uses 4 MB. Only affects the small write-operations term.</t>
        </is>
      </c>
    </row>
    <row r="13">
      <c r="A13" s="2" t="inlineStr">
        <is>
          <t>RESOLVED RATES</t>
        </is>
      </c>
    </row>
    <row r="14">
      <c r="A14" s="4" t="inlineStr">
        <is>
          <t>Storage $/GB/month</t>
        </is>
      </c>
      <c r="B14" s="9">
        <f>IFERROR(INDEX(Prices!$D$5:$D$25,MATCH($B$8&amp;" "&amp;$B$9,Prices!$A$5:$A$25,0)),"not offered")</f>
        <v/>
      </c>
      <c r="C14" s="6" t="inlineStr">
        <is>
          <t>Looked up from the price snapshot. Archive has no ZRS.</t>
        </is>
      </c>
    </row>
    <row r="15">
      <c r="A15" s="4" t="inlineStr">
        <is>
          <t>Write $/10k operations</t>
        </is>
      </c>
      <c r="B15" s="10">
        <f>IFERROR(INDEX(Prices!$E$5:$E$25,MATCH($B$8&amp;" "&amp;$B$9,Prices!$A$5:$A$25,0)),0)</f>
        <v/>
      </c>
    </row>
    <row r="16">
      <c r="A16" s="4" t="inlineStr">
        <is>
          <t>Transfer $/GB</t>
        </is>
      </c>
      <c r="B16" s="10">
        <f>IFERROR(INDEX(Prices!$B$29:$B$31,MATCH($B$10,Prices!$A$29:$A$31,0)),0)</f>
        <v/>
      </c>
      <c r="C16" s="6" t="inlineStr">
        <is>
          <t>Egress. Zero unless you cross a region boundary.</t>
        </is>
      </c>
    </row>
    <row r="18">
      <c r="A18" s="2" t="inlineStr">
        <is>
          <t>VOLUMES</t>
        </is>
      </c>
    </row>
    <row r="19">
      <c r="A19" s="4" t="inlineStr">
        <is>
          <t>Total source data (GB)</t>
        </is>
      </c>
      <c r="B19" s="11">
        <f>$B$4*$B$5</f>
        <v/>
      </c>
      <c r="C19" s="6" t="inlineStr">
        <is>
          <t>Backups x average size.</t>
        </is>
      </c>
    </row>
    <row r="20">
      <c r="A20" s="4" t="inlineStr">
        <is>
          <t>Total artifact data (GB)</t>
        </is>
      </c>
      <c r="B20" s="11">
        <f>IF($B$6&gt;0,$B$19/$B$6,0)</f>
        <v/>
      </c>
      <c r="C20" s="6" t="inlineStr">
        <is>
          <t>What actually lands in blob storage.</t>
        </is>
      </c>
    </row>
    <row r="21">
      <c r="A21" s="4" t="inlineStr">
        <is>
          <t>Write operations</t>
        </is>
      </c>
      <c r="B21" s="11">
        <f>IF($B$11&gt;0,ROUNDUP($B$20*1024/$B$11,0),0)</f>
        <v/>
      </c>
      <c r="C21" s="6" t="inlineStr">
        <is>
          <t>One block per upload chunk.</t>
        </is>
      </c>
    </row>
    <row r="23">
      <c r="A23" s="2" t="inlineStr">
        <is>
          <t>COSTS</t>
        </is>
      </c>
    </row>
    <row r="24">
      <c r="A24" s="4" t="inlineStr">
        <is>
          <t>Transfer: bandwidth</t>
        </is>
      </c>
      <c r="B24" s="12">
        <f>$B$20*$B$16</f>
        <v/>
      </c>
      <c r="C24" s="6" t="inlineStr">
        <is>
          <t>Zero for same-region destinations.</t>
        </is>
      </c>
    </row>
    <row r="25">
      <c r="A25" s="4" t="inlineStr">
        <is>
          <t>Transfer: write operations</t>
        </is>
      </c>
      <c r="B25" s="12">
        <f>$B$21/10000*$B$15</f>
        <v/>
      </c>
      <c r="C25" s="6" t="inlineStr">
        <is>
          <t>Nearly always trivial.</t>
        </is>
      </c>
    </row>
    <row r="26">
      <c r="A26" s="4" t="inlineStr">
        <is>
          <t>Transfer: TOTAL (one time)</t>
        </is>
      </c>
      <c r="B26" s="12">
        <f>$B$24+$B$25</f>
        <v/>
      </c>
      <c r="C26" s="6" t="inlineStr">
        <is>
          <t>The whole cost of getting the data in.</t>
        </is>
      </c>
    </row>
    <row r="27">
      <c r="A27" s="4" t="inlineStr">
        <is>
          <t>Storage per month</t>
        </is>
      </c>
      <c r="B27" s="12">
        <f>$B$20*$B$14</f>
        <v/>
      </c>
    </row>
    <row r="28">
      <c r="A28" s="4" t="inlineStr">
        <is>
          <t>Storage over full retention</t>
        </is>
      </c>
      <c r="B28" s="12">
        <f>$B$27*$B$7</f>
        <v/>
      </c>
      <c r="C28" s="6" t="inlineStr">
        <is>
          <t>The number that actually matters.</t>
        </is>
      </c>
    </row>
    <row r="30">
      <c r="A30" s="13" t="inlineStr">
        <is>
          <t>GRAND TOTAL</t>
        </is>
      </c>
      <c r="B30" s="14">
        <f>$B$26+$B$28</f>
        <v/>
      </c>
      <c r="C30" s="6" t="inlineStr">
        <is>
          <t>Transfer plus retention.</t>
        </is>
      </c>
    </row>
    <row r="32">
      <c r="A32" s="4" t="inlineStr">
        <is>
          <t>Transfer as % of total</t>
        </is>
      </c>
      <c r="B32" s="15">
        <f>IFERROR($B$26/$B$30,0)</f>
        <v/>
      </c>
      <c r="C32" s="6" t="inlineStr">
        <is>
          <t>Usually a rounding error next to storage.</t>
        </is>
      </c>
    </row>
    <row r="33">
      <c r="A33" s="4" t="inlineStr">
        <is>
          <t>Cost to read it all back once</t>
        </is>
      </c>
      <c r="B33" s="16">
        <f>$B$20*IFERROR(INDEX(Prices!$G$5:$G$25,MATCH($B$8&amp;" "&amp;$B$9,Prices!$A$5:$A$25,0)),0)+$B$21/10000*IFERROR(INDEX(Prices!$F$5:$F$25,MATCH($B$8&amp;" "&amp;$B$9,Prices!$A$5:$A$25,0)),0)</f>
        <v/>
      </c>
      <c r="C33" s="6" t="inlineStr">
        <is>
          <t>The Archive trap: cheap to keep, not free to retrieve.</t>
        </is>
      </c>
    </row>
    <row r="35">
      <c r="A35" s="6" t="inlineStr">
        <is>
          <t>Restore/export compute is NOT included here; it is one-time and small. See Get-LtrExportCostEstimate.ps1 for that half of the model.</t>
        </is>
      </c>
    </row>
  </sheetData>
  <mergeCells count="2">
    <mergeCell ref="A35:C35"/>
    <mergeCell ref="A1:D1"/>
  </mergeCells>
  <dataValidations count="3">
    <dataValidation sqref="B8" showDropDown="0" showInputMessage="0" showErrorMessage="0" allowBlank="0" type="list">
      <formula1>"Hot,Cool,Cold,Archive"</formula1>
    </dataValidation>
    <dataValidation sqref="B9" showDropDown="0" showInputMessage="0" showErrorMessage="0" allowBlank="0" type="list">
      <formula1>"LRS,ZRS,GRS,GZRS,RA-GRS,RA-GZRS"</formula1>
    </dataValidation>
    <dataValidation sqref="B10" showDropDown="0" showInputMessage="0" showErrorMessage="0" allowBlank="0" type="list">
      <formula1>=Prices!$A$29:$A$31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14" customWidth="1" min="3" max="3"/>
    <col width="20" customWidth="1" min="4" max="4"/>
    <col width="20" customWidth="1" min="5" max="5"/>
    <col width="20" customWidth="1" min="6" max="6"/>
    <col width="22" customWidth="1" min="7" max="7"/>
  </cols>
  <sheetData>
    <row r="1" ht="24" customHeight="1">
      <c r="A1" s="1" t="inlineStr">
        <is>
          <t>Price snapshot from the Azure retail prices API</t>
        </is>
      </c>
    </row>
    <row r="2">
      <c r="A2" s="6" t="inlineStr">
        <is>
          <t>Retrieved 2026-09-10T06:32:45.497151+00:00 for region 'eastus' in USD. Product: General Block Blob v2. Data Stored is the first volume band (0-50 TB). Operation meters are not published for every redundancy; missing ones fall back to the LRS rate for the same tier.</t>
        </is>
      </c>
    </row>
    <row r="4">
      <c r="A4" s="17" t="inlineStr">
        <is>
          <t>Key</t>
        </is>
      </c>
      <c r="B4" s="17" t="inlineStr">
        <is>
          <t>Tier</t>
        </is>
      </c>
      <c r="C4" s="17" t="inlineStr">
        <is>
          <t>Redundancy</t>
        </is>
      </c>
      <c r="D4" s="17" t="inlineStr">
        <is>
          <t>Stored $/GB/month</t>
        </is>
      </c>
      <c r="E4" s="17" t="inlineStr">
        <is>
          <t>Write $/10k ops</t>
        </is>
      </c>
      <c r="F4" s="17" t="inlineStr">
        <is>
          <t>Read $/10k ops</t>
        </is>
      </c>
      <c r="G4" s="17" t="inlineStr">
        <is>
          <t>Retrieval $/GB</t>
        </is>
      </c>
    </row>
    <row r="5">
      <c r="A5" s="18" t="inlineStr">
        <is>
          <t>Hot GRS</t>
        </is>
      </c>
      <c r="B5" s="18" t="inlineStr">
        <is>
          <t>Hot</t>
        </is>
      </c>
      <c r="C5" s="18" t="inlineStr">
        <is>
          <t>GRS</t>
        </is>
      </c>
      <c r="D5" s="19" t="n">
        <v>0.0458</v>
      </c>
      <c r="E5" s="20" t="n">
        <v>0.1</v>
      </c>
      <c r="F5" s="20" t="n">
        <v>0.004</v>
      </c>
      <c r="G5" s="20" t="n">
        <v>0</v>
      </c>
    </row>
    <row r="6">
      <c r="A6" s="18" t="inlineStr">
        <is>
          <t>Hot GZRS</t>
        </is>
      </c>
      <c r="B6" s="18" t="inlineStr">
        <is>
          <t>Hot</t>
        </is>
      </c>
      <c r="C6" s="18" t="inlineStr">
        <is>
          <t>GZRS</t>
        </is>
      </c>
      <c r="D6" s="19" t="n">
        <v>0.0468</v>
      </c>
      <c r="E6" s="20" t="n">
        <v>0.1175</v>
      </c>
      <c r="F6" s="20" t="n">
        <v>0.004</v>
      </c>
      <c r="G6" s="20" t="n">
        <v>0</v>
      </c>
    </row>
    <row r="7">
      <c r="A7" s="18" t="inlineStr">
        <is>
          <t>Hot LRS</t>
        </is>
      </c>
      <c r="B7" s="18" t="inlineStr">
        <is>
          <t>Hot</t>
        </is>
      </c>
      <c r="C7" s="18" t="inlineStr">
        <is>
          <t>LRS</t>
        </is>
      </c>
      <c r="D7" s="19" t="n">
        <v>0.0208</v>
      </c>
      <c r="E7" s="20" t="n">
        <v>0.05</v>
      </c>
      <c r="F7" s="20" t="n">
        <v>0.004</v>
      </c>
      <c r="G7" s="20" t="n">
        <v>0</v>
      </c>
    </row>
    <row r="8">
      <c r="A8" s="18" t="inlineStr">
        <is>
          <t>Hot RA-GRS</t>
        </is>
      </c>
      <c r="B8" s="18" t="inlineStr">
        <is>
          <t>Hot</t>
        </is>
      </c>
      <c r="C8" s="18" t="inlineStr">
        <is>
          <t>RA-GRS</t>
        </is>
      </c>
      <c r="D8" s="19" t="n">
        <v>0.0589</v>
      </c>
      <c r="E8" s="20" t="n">
        <v>0.1</v>
      </c>
      <c r="F8" s="20" t="n">
        <v>0.004</v>
      </c>
      <c r="G8" s="20" t="n">
        <v>0</v>
      </c>
    </row>
    <row r="9">
      <c r="A9" s="18" t="inlineStr">
        <is>
          <t>Hot RA-GZRS</t>
        </is>
      </c>
      <c r="B9" s="18" t="inlineStr">
        <is>
          <t>Hot</t>
        </is>
      </c>
      <c r="C9" s="18" t="inlineStr">
        <is>
          <t>RA-GZRS</t>
        </is>
      </c>
      <c r="D9" s="19" t="n">
        <v>0.0585</v>
      </c>
      <c r="E9" s="20" t="n">
        <v>0.05</v>
      </c>
      <c r="F9" s="20" t="n">
        <v>0.004</v>
      </c>
      <c r="G9" s="20" t="n">
        <v>0</v>
      </c>
    </row>
    <row r="10">
      <c r="A10" s="18" t="inlineStr">
        <is>
          <t>Hot ZRS</t>
        </is>
      </c>
      <c r="B10" s="18" t="inlineStr">
        <is>
          <t>Hot</t>
        </is>
      </c>
      <c r="C10" s="18" t="inlineStr">
        <is>
          <t>ZRS</t>
        </is>
      </c>
      <c r="D10" s="19" t="n">
        <v>0.026</v>
      </c>
      <c r="E10" s="20" t="n">
        <v>0.0625</v>
      </c>
      <c r="F10" s="20" t="n">
        <v>0.004</v>
      </c>
      <c r="G10" s="20" t="n">
        <v>0</v>
      </c>
    </row>
    <row r="11">
      <c r="A11" s="18" t="inlineStr">
        <is>
          <t>Cool GRS</t>
        </is>
      </c>
      <c r="B11" s="18" t="inlineStr">
        <is>
          <t>Cool</t>
        </is>
      </c>
      <c r="C11" s="18" t="inlineStr">
        <is>
          <t>GRS</t>
        </is>
      </c>
      <c r="D11" s="19" t="n">
        <v>0.0334</v>
      </c>
      <c r="E11" s="20" t="n">
        <v>0.2</v>
      </c>
      <c r="F11" s="20" t="n">
        <v>0.01</v>
      </c>
      <c r="G11" s="20" t="n">
        <v>0.01</v>
      </c>
    </row>
    <row r="12">
      <c r="A12" s="18" t="inlineStr">
        <is>
          <t>Cool GZRS</t>
        </is>
      </c>
      <c r="B12" s="18" t="inlineStr">
        <is>
          <t>Cool</t>
        </is>
      </c>
      <c r="C12" s="18" t="inlineStr">
        <is>
          <t>GZRS</t>
        </is>
      </c>
      <c r="D12" s="19" t="n">
        <v>0.0342</v>
      </c>
      <c r="E12" s="20" t="n">
        <v>0.2</v>
      </c>
      <c r="F12" s="20" t="n">
        <v>0.01</v>
      </c>
      <c r="G12" s="20" t="n">
        <v>0.01</v>
      </c>
    </row>
    <row r="13">
      <c r="A13" s="18" t="inlineStr">
        <is>
          <t>Cool LRS</t>
        </is>
      </c>
      <c r="B13" s="18" t="inlineStr">
        <is>
          <t>Cool</t>
        </is>
      </c>
      <c r="C13" s="18" t="inlineStr">
        <is>
          <t>LRS</t>
        </is>
      </c>
      <c r="D13" s="19" t="n">
        <v>0.0152</v>
      </c>
      <c r="E13" s="20" t="n">
        <v>0.1</v>
      </c>
      <c r="F13" s="20" t="n">
        <v>0.01</v>
      </c>
      <c r="G13" s="20" t="n">
        <v>0.01</v>
      </c>
    </row>
    <row r="14">
      <c r="A14" s="18" t="inlineStr">
        <is>
          <t>Cool RA-GRS</t>
        </is>
      </c>
      <c r="B14" s="18" t="inlineStr">
        <is>
          <t>Cool</t>
        </is>
      </c>
      <c r="C14" s="18" t="inlineStr">
        <is>
          <t>RA-GRS</t>
        </is>
      </c>
      <c r="D14" s="19" t="n">
        <v>0.0425</v>
      </c>
      <c r="E14" s="20" t="n">
        <v>0.2</v>
      </c>
      <c r="F14" s="20" t="n">
        <v>0.01</v>
      </c>
      <c r="G14" s="20" t="n">
        <v>0.01</v>
      </c>
    </row>
    <row r="15">
      <c r="A15" s="18" t="inlineStr">
        <is>
          <t>Cool RA-GZRS</t>
        </is>
      </c>
      <c r="B15" s="18" t="inlineStr">
        <is>
          <t>Cool</t>
        </is>
      </c>
      <c r="C15" s="18" t="inlineStr">
        <is>
          <t>RA-GZRS</t>
        </is>
      </c>
      <c r="D15" s="19" t="n">
        <v>0.04275</v>
      </c>
      <c r="E15" s="20" t="n">
        <v>0.1</v>
      </c>
      <c r="F15" s="20" t="n">
        <v>0.01</v>
      </c>
      <c r="G15" s="20" t="n">
        <v>0.01</v>
      </c>
    </row>
    <row r="16">
      <c r="A16" s="18" t="inlineStr">
        <is>
          <t>Cool ZRS</t>
        </is>
      </c>
      <c r="B16" s="18" t="inlineStr">
        <is>
          <t>Cool</t>
        </is>
      </c>
      <c r="C16" s="18" t="inlineStr">
        <is>
          <t>ZRS</t>
        </is>
      </c>
      <c r="D16" s="19" t="n">
        <v>0.019</v>
      </c>
      <c r="E16" s="20" t="n">
        <v>0.1</v>
      </c>
      <c r="F16" s="20" t="n">
        <v>0.01</v>
      </c>
      <c r="G16" s="20" t="n">
        <v>0.01</v>
      </c>
    </row>
    <row r="17">
      <c r="A17" s="18" t="inlineStr">
        <is>
          <t>Cold GRS</t>
        </is>
      </c>
      <c r="B17" s="18" t="inlineStr">
        <is>
          <t>Cold</t>
        </is>
      </c>
      <c r="C17" s="18" t="inlineStr">
        <is>
          <t>GRS</t>
        </is>
      </c>
      <c r="D17" s="19" t="n">
        <v>0.0081</v>
      </c>
      <c r="E17" s="20" t="n">
        <v>0.36</v>
      </c>
      <c r="F17" s="20" t="n">
        <v>0.1</v>
      </c>
      <c r="G17" s="20" t="n">
        <v>0.03</v>
      </c>
    </row>
    <row r="18">
      <c r="A18" s="18" t="inlineStr">
        <is>
          <t>Cold GZRS</t>
        </is>
      </c>
      <c r="B18" s="18" t="inlineStr">
        <is>
          <t>Cold</t>
        </is>
      </c>
      <c r="C18" s="18" t="inlineStr">
        <is>
          <t>GZRS</t>
        </is>
      </c>
      <c r="D18" s="19" t="n">
        <v>0.008500000000000001</v>
      </c>
      <c r="E18" s="20" t="n">
        <v>0.38</v>
      </c>
      <c r="F18" s="20" t="n">
        <v>0.1</v>
      </c>
      <c r="G18" s="20" t="n">
        <v>0.03</v>
      </c>
    </row>
    <row r="19">
      <c r="A19" s="18" t="inlineStr">
        <is>
          <t>Cold LRS</t>
        </is>
      </c>
      <c r="B19" s="18" t="inlineStr">
        <is>
          <t>Cold</t>
        </is>
      </c>
      <c r="C19" s="18" t="inlineStr">
        <is>
          <t>LRS</t>
        </is>
      </c>
      <c r="D19" s="19" t="n">
        <v>0.0036</v>
      </c>
      <c r="E19" s="20" t="n">
        <v>0.18</v>
      </c>
      <c r="F19" s="20" t="n">
        <v>0.1</v>
      </c>
      <c r="G19" s="20" t="n">
        <v>0.03</v>
      </c>
    </row>
    <row r="20">
      <c r="A20" s="18" t="inlineStr">
        <is>
          <t>Cold RA-GRS</t>
        </is>
      </c>
      <c r="B20" s="18" t="inlineStr">
        <is>
          <t>Cold</t>
        </is>
      </c>
      <c r="C20" s="18" t="inlineStr">
        <is>
          <t>RA-GRS</t>
        </is>
      </c>
      <c r="D20" s="19" t="n">
        <v>0.0101</v>
      </c>
      <c r="E20" s="20" t="n">
        <v>0.36</v>
      </c>
      <c r="F20" s="20" t="n">
        <v>0.1</v>
      </c>
      <c r="G20" s="20" t="n">
        <v>0.03</v>
      </c>
    </row>
    <row r="21">
      <c r="A21" s="18" t="inlineStr">
        <is>
          <t>Cold RA-GZRS</t>
        </is>
      </c>
      <c r="B21" s="18" t="inlineStr">
        <is>
          <t>Cold</t>
        </is>
      </c>
      <c r="C21" s="18" t="inlineStr">
        <is>
          <t>RA-GZRS</t>
        </is>
      </c>
      <c r="D21" s="19" t="n">
        <v>0.0106</v>
      </c>
      <c r="E21" s="20" t="n">
        <v>0.38</v>
      </c>
      <c r="F21" s="20" t="n">
        <v>0.1</v>
      </c>
      <c r="G21" s="20" t="n">
        <v>0.03</v>
      </c>
    </row>
    <row r="22">
      <c r="A22" s="18" t="inlineStr">
        <is>
          <t>Cold ZRS</t>
        </is>
      </c>
      <c r="B22" s="18" t="inlineStr">
        <is>
          <t>Cold</t>
        </is>
      </c>
      <c r="C22" s="18" t="inlineStr">
        <is>
          <t>ZRS</t>
        </is>
      </c>
      <c r="D22" s="19" t="n">
        <v>0.004</v>
      </c>
      <c r="E22" s="20" t="n">
        <v>0.2</v>
      </c>
      <c r="F22" s="20" t="n">
        <v>0.1</v>
      </c>
      <c r="G22" s="20" t="n">
        <v>0.03</v>
      </c>
    </row>
    <row r="23">
      <c r="A23" s="21" t="inlineStr">
        <is>
          <t>Archive GRS</t>
        </is>
      </c>
      <c r="B23" s="21" t="inlineStr">
        <is>
          <t>Archive</t>
        </is>
      </c>
      <c r="C23" s="21" t="inlineStr">
        <is>
          <t>GRS</t>
        </is>
      </c>
      <c r="D23" s="22" t="n">
        <v>0.00299</v>
      </c>
      <c r="E23" s="23" t="n">
        <v>0.21</v>
      </c>
      <c r="F23" s="23" t="n">
        <v>5</v>
      </c>
      <c r="G23" s="23" t="n">
        <v>0.02</v>
      </c>
    </row>
    <row r="24">
      <c r="A24" s="21" t="inlineStr">
        <is>
          <t>Archive LRS</t>
        </is>
      </c>
      <c r="B24" s="21" t="inlineStr">
        <is>
          <t>Archive</t>
        </is>
      </c>
      <c r="C24" s="21" t="inlineStr">
        <is>
          <t>LRS</t>
        </is>
      </c>
      <c r="D24" s="22" t="n">
        <v>0.00099</v>
      </c>
      <c r="E24" s="23" t="n">
        <v>0.1</v>
      </c>
      <c r="F24" s="23" t="n">
        <v>5</v>
      </c>
      <c r="G24" s="23" t="n">
        <v>0.02</v>
      </c>
    </row>
    <row r="25">
      <c r="A25" s="21" t="inlineStr">
        <is>
          <t>Archive RA-GRS</t>
        </is>
      </c>
      <c r="B25" s="21" t="inlineStr">
        <is>
          <t>Archive</t>
        </is>
      </c>
      <c r="C25" s="21" t="inlineStr">
        <is>
          <t>RA-GRS</t>
        </is>
      </c>
      <c r="D25" s="22" t="n">
        <v>0.00299</v>
      </c>
      <c r="E25" s="23" t="n">
        <v>0.21</v>
      </c>
      <c r="F25" s="23" t="n">
        <v>5</v>
      </c>
      <c r="G25" s="23" t="n">
        <v>0.02</v>
      </c>
    </row>
    <row r="27">
      <c r="A27" s="4" t="inlineStr">
        <is>
          <t>Bandwidth (egress out of the source region)</t>
        </is>
      </c>
    </row>
    <row r="28">
      <c r="A28" s="17" t="inlineStr">
        <is>
          <t>Destination</t>
        </is>
      </c>
      <c r="B28" s="17" t="inlineStr">
        <is>
          <t>$/GB</t>
        </is>
      </c>
    </row>
    <row r="29">
      <c r="A29" s="18" t="inlineStr">
        <is>
          <t>Same region (any subscription)</t>
        </is>
      </c>
      <c r="B29" s="20" t="n">
        <v>0</v>
      </c>
    </row>
    <row r="30">
      <c r="A30" s="18" t="inlineStr">
        <is>
          <t>Cross region</t>
        </is>
      </c>
      <c r="B30" s="20" t="n">
        <v>0.02</v>
      </c>
    </row>
    <row r="31">
      <c r="A31" s="18" t="inlineStr">
        <is>
          <t>Out to the internet</t>
        </is>
      </c>
      <c r="B31" s="20" t="n">
        <v>0.08699999999999999</v>
      </c>
    </row>
    <row r="33">
      <c r="A33" s="6" t="inlineStr">
        <is>
          <t>Ingress into Azure Storage is always free. A subscription boundary costs nothing; only a region boundary does.</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ht="24" customHeight="1">
      <c r="A1" s="1" t="inlineStr">
        <is>
          <t>Cost by number of backups and database size</t>
        </is>
      </c>
    </row>
    <row r="2">
      <c r="A2" s="6" t="inlineStr">
        <is>
          <t>Uses the compression ratio, retention, tier and destination from 'Parameters'. Rows are backup counts; columns are average database size in GB.</t>
        </is>
      </c>
    </row>
    <row r="4">
      <c r="A4" s="24" t="inlineStr">
        <is>
          <t>1. TRANSFER COST (one time)  -  bandwidth plus write operations</t>
        </is>
      </c>
    </row>
    <row r="5">
      <c r="A5" s="17" t="inlineStr">
        <is>
          <t>Backups \ Size (GB)</t>
        </is>
      </c>
      <c r="B5" s="17" t="inlineStr">
        <is>
          <t>5</t>
        </is>
      </c>
      <c r="C5" s="17" t="inlineStr">
        <is>
          <t>10</t>
        </is>
      </c>
      <c r="D5" s="17" t="inlineStr">
        <is>
          <t>25</t>
        </is>
      </c>
      <c r="E5" s="17" t="inlineStr">
        <is>
          <t>50</t>
        </is>
      </c>
      <c r="F5" s="17" t="inlineStr">
        <is>
          <t>100</t>
        </is>
      </c>
      <c r="G5" s="17" t="inlineStr">
        <is>
          <t>250</t>
        </is>
      </c>
      <c r="H5" s="17" t="inlineStr">
        <is>
          <t>500</t>
        </is>
      </c>
      <c r="I5" s="17" t="inlineStr">
        <is>
          <t>1000</t>
        </is>
      </c>
    </row>
    <row r="6">
      <c r="A6" s="25" t="n">
        <v>10</v>
      </c>
      <c r="B6" s="26">
        <f>(10*5/Parameters!$B$6)*Parameters!$B$16+ROUNDUP((10*5/Parameters!$B$6)*1024/Parameters!$B$11,0)/10000*Parameters!$B$15</f>
        <v/>
      </c>
      <c r="C6" s="26">
        <f>(10*10/Parameters!$B$6)*Parameters!$B$16+ROUNDUP((10*10/Parameters!$B$6)*1024/Parameters!$B$11,0)/10000*Parameters!$B$15</f>
        <v/>
      </c>
      <c r="D6" s="26">
        <f>(10*25/Parameters!$B$6)*Parameters!$B$16+ROUNDUP((10*25/Parameters!$B$6)*1024/Parameters!$B$11,0)/10000*Parameters!$B$15</f>
        <v/>
      </c>
      <c r="E6" s="26">
        <f>(10*50/Parameters!$B$6)*Parameters!$B$16+ROUNDUP((10*50/Parameters!$B$6)*1024/Parameters!$B$11,0)/10000*Parameters!$B$15</f>
        <v/>
      </c>
      <c r="F6" s="26">
        <f>(10*100/Parameters!$B$6)*Parameters!$B$16+ROUNDUP((10*100/Parameters!$B$6)*1024/Parameters!$B$11,0)/10000*Parameters!$B$15</f>
        <v/>
      </c>
      <c r="G6" s="26">
        <f>(10*250/Parameters!$B$6)*Parameters!$B$16+ROUNDUP((10*250/Parameters!$B$6)*1024/Parameters!$B$11,0)/10000*Parameters!$B$15</f>
        <v/>
      </c>
      <c r="H6" s="26">
        <f>(10*500/Parameters!$B$6)*Parameters!$B$16+ROUNDUP((10*500/Parameters!$B$6)*1024/Parameters!$B$11,0)/10000*Parameters!$B$15</f>
        <v/>
      </c>
      <c r="I6" s="26">
        <f>(10*1000/Parameters!$B$6)*Parameters!$B$16+ROUNDUP((10*1000/Parameters!$B$6)*1024/Parameters!$B$11,0)/10000*Parameters!$B$15</f>
        <v/>
      </c>
    </row>
    <row r="7">
      <c r="A7" s="25" t="n">
        <v>25</v>
      </c>
      <c r="B7" s="26">
        <f>(25*5/Parameters!$B$6)*Parameters!$B$16+ROUNDUP((25*5/Parameters!$B$6)*1024/Parameters!$B$11,0)/10000*Parameters!$B$15</f>
        <v/>
      </c>
      <c r="C7" s="26">
        <f>(25*10/Parameters!$B$6)*Parameters!$B$16+ROUNDUP((25*10/Parameters!$B$6)*1024/Parameters!$B$11,0)/10000*Parameters!$B$15</f>
        <v/>
      </c>
      <c r="D7" s="26">
        <f>(25*25/Parameters!$B$6)*Parameters!$B$16+ROUNDUP((25*25/Parameters!$B$6)*1024/Parameters!$B$11,0)/10000*Parameters!$B$15</f>
        <v/>
      </c>
      <c r="E7" s="26">
        <f>(25*50/Parameters!$B$6)*Parameters!$B$16+ROUNDUP((25*50/Parameters!$B$6)*1024/Parameters!$B$11,0)/10000*Parameters!$B$15</f>
        <v/>
      </c>
      <c r="F7" s="26">
        <f>(25*100/Parameters!$B$6)*Parameters!$B$16+ROUNDUP((25*100/Parameters!$B$6)*1024/Parameters!$B$11,0)/10000*Parameters!$B$15</f>
        <v/>
      </c>
      <c r="G7" s="26">
        <f>(25*250/Parameters!$B$6)*Parameters!$B$16+ROUNDUP((25*250/Parameters!$B$6)*1024/Parameters!$B$11,0)/10000*Parameters!$B$15</f>
        <v/>
      </c>
      <c r="H7" s="26">
        <f>(25*500/Parameters!$B$6)*Parameters!$B$16+ROUNDUP((25*500/Parameters!$B$6)*1024/Parameters!$B$11,0)/10000*Parameters!$B$15</f>
        <v/>
      </c>
      <c r="I7" s="26">
        <f>(25*1000/Parameters!$B$6)*Parameters!$B$16+ROUNDUP((25*1000/Parameters!$B$6)*1024/Parameters!$B$11,0)/10000*Parameters!$B$15</f>
        <v/>
      </c>
    </row>
    <row r="8">
      <c r="A8" s="25" t="n">
        <v>50</v>
      </c>
      <c r="B8" s="26">
        <f>(50*5/Parameters!$B$6)*Parameters!$B$16+ROUNDUP((50*5/Parameters!$B$6)*1024/Parameters!$B$11,0)/10000*Parameters!$B$15</f>
        <v/>
      </c>
      <c r="C8" s="26">
        <f>(50*10/Parameters!$B$6)*Parameters!$B$16+ROUNDUP((50*10/Parameters!$B$6)*1024/Parameters!$B$11,0)/10000*Parameters!$B$15</f>
        <v/>
      </c>
      <c r="D8" s="26">
        <f>(50*25/Parameters!$B$6)*Parameters!$B$16+ROUNDUP((50*25/Parameters!$B$6)*1024/Parameters!$B$11,0)/10000*Parameters!$B$15</f>
        <v/>
      </c>
      <c r="E8" s="26">
        <f>(50*50/Parameters!$B$6)*Parameters!$B$16+ROUNDUP((50*50/Parameters!$B$6)*1024/Parameters!$B$11,0)/10000*Parameters!$B$15</f>
        <v/>
      </c>
      <c r="F8" s="26">
        <f>(50*100/Parameters!$B$6)*Parameters!$B$16+ROUNDUP((50*100/Parameters!$B$6)*1024/Parameters!$B$11,0)/10000*Parameters!$B$15</f>
        <v/>
      </c>
      <c r="G8" s="26">
        <f>(50*250/Parameters!$B$6)*Parameters!$B$16+ROUNDUP((50*250/Parameters!$B$6)*1024/Parameters!$B$11,0)/10000*Parameters!$B$15</f>
        <v/>
      </c>
      <c r="H8" s="26">
        <f>(50*500/Parameters!$B$6)*Parameters!$B$16+ROUNDUP((50*500/Parameters!$B$6)*1024/Parameters!$B$11,0)/10000*Parameters!$B$15</f>
        <v/>
      </c>
      <c r="I8" s="26">
        <f>(50*1000/Parameters!$B$6)*Parameters!$B$16+ROUNDUP((50*1000/Parameters!$B$6)*1024/Parameters!$B$11,0)/10000*Parameters!$B$15</f>
        <v/>
      </c>
    </row>
    <row r="9">
      <c r="A9" s="25" t="n">
        <v>100</v>
      </c>
      <c r="B9" s="26">
        <f>(100*5/Parameters!$B$6)*Parameters!$B$16+ROUNDUP((100*5/Parameters!$B$6)*1024/Parameters!$B$11,0)/10000*Parameters!$B$15</f>
        <v/>
      </c>
      <c r="C9" s="26">
        <f>(100*10/Parameters!$B$6)*Parameters!$B$16+ROUNDUP((100*10/Parameters!$B$6)*1024/Parameters!$B$11,0)/10000*Parameters!$B$15</f>
        <v/>
      </c>
      <c r="D9" s="26">
        <f>(100*25/Parameters!$B$6)*Parameters!$B$16+ROUNDUP((100*25/Parameters!$B$6)*1024/Parameters!$B$11,0)/10000*Parameters!$B$15</f>
        <v/>
      </c>
      <c r="E9" s="26">
        <f>(100*50/Parameters!$B$6)*Parameters!$B$16+ROUNDUP((100*50/Parameters!$B$6)*1024/Parameters!$B$11,0)/10000*Parameters!$B$15</f>
        <v/>
      </c>
      <c r="F9" s="26">
        <f>(100*100/Parameters!$B$6)*Parameters!$B$16+ROUNDUP((100*100/Parameters!$B$6)*1024/Parameters!$B$11,0)/10000*Parameters!$B$15</f>
        <v/>
      </c>
      <c r="G9" s="26">
        <f>(100*250/Parameters!$B$6)*Parameters!$B$16+ROUNDUP((100*250/Parameters!$B$6)*1024/Parameters!$B$11,0)/10000*Parameters!$B$15</f>
        <v/>
      </c>
      <c r="H9" s="26">
        <f>(100*500/Parameters!$B$6)*Parameters!$B$16+ROUNDUP((100*500/Parameters!$B$6)*1024/Parameters!$B$11,0)/10000*Parameters!$B$15</f>
        <v/>
      </c>
      <c r="I9" s="26">
        <f>(100*1000/Parameters!$B$6)*Parameters!$B$16+ROUNDUP((100*1000/Parameters!$B$6)*1024/Parameters!$B$11,0)/10000*Parameters!$B$15</f>
        <v/>
      </c>
    </row>
    <row r="10">
      <c r="A10" s="25" t="n">
        <v>200</v>
      </c>
      <c r="B10" s="26">
        <f>(200*5/Parameters!$B$6)*Parameters!$B$16+ROUNDUP((200*5/Parameters!$B$6)*1024/Parameters!$B$11,0)/10000*Parameters!$B$15</f>
        <v/>
      </c>
      <c r="C10" s="26">
        <f>(200*10/Parameters!$B$6)*Parameters!$B$16+ROUNDUP((200*10/Parameters!$B$6)*1024/Parameters!$B$11,0)/10000*Parameters!$B$15</f>
        <v/>
      </c>
      <c r="D10" s="26">
        <f>(200*25/Parameters!$B$6)*Parameters!$B$16+ROUNDUP((200*25/Parameters!$B$6)*1024/Parameters!$B$11,0)/10000*Parameters!$B$15</f>
        <v/>
      </c>
      <c r="E10" s="26">
        <f>(200*50/Parameters!$B$6)*Parameters!$B$16+ROUNDUP((200*50/Parameters!$B$6)*1024/Parameters!$B$11,0)/10000*Parameters!$B$15</f>
        <v/>
      </c>
      <c r="F10" s="26">
        <f>(200*100/Parameters!$B$6)*Parameters!$B$16+ROUNDUP((200*100/Parameters!$B$6)*1024/Parameters!$B$11,0)/10000*Parameters!$B$15</f>
        <v/>
      </c>
      <c r="G10" s="26">
        <f>(200*250/Parameters!$B$6)*Parameters!$B$16+ROUNDUP((200*250/Parameters!$B$6)*1024/Parameters!$B$11,0)/10000*Parameters!$B$15</f>
        <v/>
      </c>
      <c r="H10" s="26">
        <f>(200*500/Parameters!$B$6)*Parameters!$B$16+ROUNDUP((200*500/Parameters!$B$6)*1024/Parameters!$B$11,0)/10000*Parameters!$B$15</f>
        <v/>
      </c>
      <c r="I10" s="26">
        <f>(200*1000/Parameters!$B$6)*Parameters!$B$16+ROUNDUP((200*1000/Parameters!$B$6)*1024/Parameters!$B$11,0)/10000*Parameters!$B$15</f>
        <v/>
      </c>
    </row>
    <row r="11">
      <c r="A11" s="25" t="n">
        <v>400</v>
      </c>
      <c r="B11" s="26">
        <f>(400*5/Parameters!$B$6)*Parameters!$B$16+ROUNDUP((400*5/Parameters!$B$6)*1024/Parameters!$B$11,0)/10000*Parameters!$B$15</f>
        <v/>
      </c>
      <c r="C11" s="26">
        <f>(400*10/Parameters!$B$6)*Parameters!$B$16+ROUNDUP((400*10/Parameters!$B$6)*1024/Parameters!$B$11,0)/10000*Parameters!$B$15</f>
        <v/>
      </c>
      <c r="D11" s="26">
        <f>(400*25/Parameters!$B$6)*Parameters!$B$16+ROUNDUP((400*25/Parameters!$B$6)*1024/Parameters!$B$11,0)/10000*Parameters!$B$15</f>
        <v/>
      </c>
      <c r="E11" s="26">
        <f>(400*50/Parameters!$B$6)*Parameters!$B$16+ROUNDUP((400*50/Parameters!$B$6)*1024/Parameters!$B$11,0)/10000*Parameters!$B$15</f>
        <v/>
      </c>
      <c r="F11" s="26">
        <f>(400*100/Parameters!$B$6)*Parameters!$B$16+ROUNDUP((400*100/Parameters!$B$6)*1024/Parameters!$B$11,0)/10000*Parameters!$B$15</f>
        <v/>
      </c>
      <c r="G11" s="26">
        <f>(400*250/Parameters!$B$6)*Parameters!$B$16+ROUNDUP((400*250/Parameters!$B$6)*1024/Parameters!$B$11,0)/10000*Parameters!$B$15</f>
        <v/>
      </c>
      <c r="H11" s="26">
        <f>(400*500/Parameters!$B$6)*Parameters!$B$16+ROUNDUP((400*500/Parameters!$B$6)*1024/Parameters!$B$11,0)/10000*Parameters!$B$15</f>
        <v/>
      </c>
      <c r="I11" s="26">
        <f>(400*1000/Parameters!$B$6)*Parameters!$B$16+ROUNDUP((400*1000/Parameters!$B$6)*1024/Parameters!$B$11,0)/10000*Parameters!$B$15</f>
        <v/>
      </c>
    </row>
    <row r="12">
      <c r="A12" s="25" t="n">
        <v>800</v>
      </c>
      <c r="B12" s="26">
        <f>(800*5/Parameters!$B$6)*Parameters!$B$16+ROUNDUP((800*5/Parameters!$B$6)*1024/Parameters!$B$11,0)/10000*Parameters!$B$15</f>
        <v/>
      </c>
      <c r="C12" s="26">
        <f>(800*10/Parameters!$B$6)*Parameters!$B$16+ROUNDUP((800*10/Parameters!$B$6)*1024/Parameters!$B$11,0)/10000*Parameters!$B$15</f>
        <v/>
      </c>
      <c r="D12" s="26">
        <f>(800*25/Parameters!$B$6)*Parameters!$B$16+ROUNDUP((800*25/Parameters!$B$6)*1024/Parameters!$B$11,0)/10000*Parameters!$B$15</f>
        <v/>
      </c>
      <c r="E12" s="26">
        <f>(800*50/Parameters!$B$6)*Parameters!$B$16+ROUNDUP((800*50/Parameters!$B$6)*1024/Parameters!$B$11,0)/10000*Parameters!$B$15</f>
        <v/>
      </c>
      <c r="F12" s="26">
        <f>(800*100/Parameters!$B$6)*Parameters!$B$16+ROUNDUP((800*100/Parameters!$B$6)*1024/Parameters!$B$11,0)/10000*Parameters!$B$15</f>
        <v/>
      </c>
      <c r="G12" s="26">
        <f>(800*250/Parameters!$B$6)*Parameters!$B$16+ROUNDUP((800*250/Parameters!$B$6)*1024/Parameters!$B$11,0)/10000*Parameters!$B$15</f>
        <v/>
      </c>
      <c r="H12" s="26">
        <f>(800*500/Parameters!$B$6)*Parameters!$B$16+ROUNDUP((800*500/Parameters!$B$6)*1024/Parameters!$B$11,0)/10000*Parameters!$B$15</f>
        <v/>
      </c>
      <c r="I12" s="26">
        <f>(800*1000/Parameters!$B$6)*Parameters!$B$16+ROUNDUP((800*1000/Parameters!$B$6)*1024/Parameters!$B$11,0)/10000*Parameters!$B$15</f>
        <v/>
      </c>
    </row>
    <row r="15">
      <c r="A15" s="24" t="inlineStr">
        <is>
          <t>2. STORAGE COST over the full retention period</t>
        </is>
      </c>
    </row>
    <row r="16">
      <c r="A16" s="17" t="inlineStr">
        <is>
          <t>Backups \ Size (GB)</t>
        </is>
      </c>
      <c r="B16" s="17" t="inlineStr">
        <is>
          <t>5</t>
        </is>
      </c>
      <c r="C16" s="17" t="inlineStr">
        <is>
          <t>10</t>
        </is>
      </c>
      <c r="D16" s="17" t="inlineStr">
        <is>
          <t>25</t>
        </is>
      </c>
      <c r="E16" s="17" t="inlineStr">
        <is>
          <t>50</t>
        </is>
      </c>
      <c r="F16" s="17" t="inlineStr">
        <is>
          <t>100</t>
        </is>
      </c>
      <c r="G16" s="17" t="inlineStr">
        <is>
          <t>250</t>
        </is>
      </c>
      <c r="H16" s="17" t="inlineStr">
        <is>
          <t>500</t>
        </is>
      </c>
      <c r="I16" s="17" t="inlineStr">
        <is>
          <t>1000</t>
        </is>
      </c>
    </row>
    <row r="17">
      <c r="A17" s="25" t="n">
        <v>10</v>
      </c>
      <c r="B17" s="26">
        <f>(10*5/Parameters!$B$6)*Parameters!$B$14*Parameters!$B$7</f>
        <v/>
      </c>
      <c r="C17" s="26">
        <f>(10*10/Parameters!$B$6)*Parameters!$B$14*Parameters!$B$7</f>
        <v/>
      </c>
      <c r="D17" s="26">
        <f>(10*25/Parameters!$B$6)*Parameters!$B$14*Parameters!$B$7</f>
        <v/>
      </c>
      <c r="E17" s="26">
        <f>(10*50/Parameters!$B$6)*Parameters!$B$14*Parameters!$B$7</f>
        <v/>
      </c>
      <c r="F17" s="26">
        <f>(10*100/Parameters!$B$6)*Parameters!$B$14*Parameters!$B$7</f>
        <v/>
      </c>
      <c r="G17" s="26">
        <f>(10*250/Parameters!$B$6)*Parameters!$B$14*Parameters!$B$7</f>
        <v/>
      </c>
      <c r="H17" s="26">
        <f>(10*500/Parameters!$B$6)*Parameters!$B$14*Parameters!$B$7</f>
        <v/>
      </c>
      <c r="I17" s="26">
        <f>(10*1000/Parameters!$B$6)*Parameters!$B$14*Parameters!$B$7</f>
        <v/>
      </c>
    </row>
    <row r="18">
      <c r="A18" s="25" t="n">
        <v>25</v>
      </c>
      <c r="B18" s="26">
        <f>(25*5/Parameters!$B$6)*Parameters!$B$14*Parameters!$B$7</f>
        <v/>
      </c>
      <c r="C18" s="26">
        <f>(25*10/Parameters!$B$6)*Parameters!$B$14*Parameters!$B$7</f>
        <v/>
      </c>
      <c r="D18" s="26">
        <f>(25*25/Parameters!$B$6)*Parameters!$B$14*Parameters!$B$7</f>
        <v/>
      </c>
      <c r="E18" s="26">
        <f>(25*50/Parameters!$B$6)*Parameters!$B$14*Parameters!$B$7</f>
        <v/>
      </c>
      <c r="F18" s="26">
        <f>(25*100/Parameters!$B$6)*Parameters!$B$14*Parameters!$B$7</f>
        <v/>
      </c>
      <c r="G18" s="26">
        <f>(25*250/Parameters!$B$6)*Parameters!$B$14*Parameters!$B$7</f>
        <v/>
      </c>
      <c r="H18" s="26">
        <f>(25*500/Parameters!$B$6)*Parameters!$B$14*Parameters!$B$7</f>
        <v/>
      </c>
      <c r="I18" s="26">
        <f>(25*1000/Parameters!$B$6)*Parameters!$B$14*Parameters!$B$7</f>
        <v/>
      </c>
    </row>
    <row r="19">
      <c r="A19" s="25" t="n">
        <v>50</v>
      </c>
      <c r="B19" s="26">
        <f>(50*5/Parameters!$B$6)*Parameters!$B$14*Parameters!$B$7</f>
        <v/>
      </c>
      <c r="C19" s="26">
        <f>(50*10/Parameters!$B$6)*Parameters!$B$14*Parameters!$B$7</f>
        <v/>
      </c>
      <c r="D19" s="26">
        <f>(50*25/Parameters!$B$6)*Parameters!$B$14*Parameters!$B$7</f>
        <v/>
      </c>
      <c r="E19" s="26">
        <f>(50*50/Parameters!$B$6)*Parameters!$B$14*Parameters!$B$7</f>
        <v/>
      </c>
      <c r="F19" s="26">
        <f>(50*100/Parameters!$B$6)*Parameters!$B$14*Parameters!$B$7</f>
        <v/>
      </c>
      <c r="G19" s="26">
        <f>(50*250/Parameters!$B$6)*Parameters!$B$14*Parameters!$B$7</f>
        <v/>
      </c>
      <c r="H19" s="26">
        <f>(50*500/Parameters!$B$6)*Parameters!$B$14*Parameters!$B$7</f>
        <v/>
      </c>
      <c r="I19" s="26">
        <f>(50*1000/Parameters!$B$6)*Parameters!$B$14*Parameters!$B$7</f>
        <v/>
      </c>
    </row>
    <row r="20">
      <c r="A20" s="25" t="n">
        <v>100</v>
      </c>
      <c r="B20" s="26">
        <f>(100*5/Parameters!$B$6)*Parameters!$B$14*Parameters!$B$7</f>
        <v/>
      </c>
      <c r="C20" s="26">
        <f>(100*10/Parameters!$B$6)*Parameters!$B$14*Parameters!$B$7</f>
        <v/>
      </c>
      <c r="D20" s="26">
        <f>(100*25/Parameters!$B$6)*Parameters!$B$14*Parameters!$B$7</f>
        <v/>
      </c>
      <c r="E20" s="26">
        <f>(100*50/Parameters!$B$6)*Parameters!$B$14*Parameters!$B$7</f>
        <v/>
      </c>
      <c r="F20" s="26">
        <f>(100*100/Parameters!$B$6)*Parameters!$B$14*Parameters!$B$7</f>
        <v/>
      </c>
      <c r="G20" s="26">
        <f>(100*250/Parameters!$B$6)*Parameters!$B$14*Parameters!$B$7</f>
        <v/>
      </c>
      <c r="H20" s="26">
        <f>(100*500/Parameters!$B$6)*Parameters!$B$14*Parameters!$B$7</f>
        <v/>
      </c>
      <c r="I20" s="26">
        <f>(100*1000/Parameters!$B$6)*Parameters!$B$14*Parameters!$B$7</f>
        <v/>
      </c>
    </row>
    <row r="21">
      <c r="A21" s="25" t="n">
        <v>200</v>
      </c>
      <c r="B21" s="26">
        <f>(200*5/Parameters!$B$6)*Parameters!$B$14*Parameters!$B$7</f>
        <v/>
      </c>
      <c r="C21" s="26">
        <f>(200*10/Parameters!$B$6)*Parameters!$B$14*Parameters!$B$7</f>
        <v/>
      </c>
      <c r="D21" s="26">
        <f>(200*25/Parameters!$B$6)*Parameters!$B$14*Parameters!$B$7</f>
        <v/>
      </c>
      <c r="E21" s="26">
        <f>(200*50/Parameters!$B$6)*Parameters!$B$14*Parameters!$B$7</f>
        <v/>
      </c>
      <c r="F21" s="26">
        <f>(200*100/Parameters!$B$6)*Parameters!$B$14*Parameters!$B$7</f>
        <v/>
      </c>
      <c r="G21" s="26">
        <f>(200*250/Parameters!$B$6)*Parameters!$B$14*Parameters!$B$7</f>
        <v/>
      </c>
      <c r="H21" s="26">
        <f>(200*500/Parameters!$B$6)*Parameters!$B$14*Parameters!$B$7</f>
        <v/>
      </c>
      <c r="I21" s="26">
        <f>(200*1000/Parameters!$B$6)*Parameters!$B$14*Parameters!$B$7</f>
        <v/>
      </c>
    </row>
    <row r="22">
      <c r="A22" s="25" t="n">
        <v>400</v>
      </c>
      <c r="B22" s="26">
        <f>(400*5/Parameters!$B$6)*Parameters!$B$14*Parameters!$B$7</f>
        <v/>
      </c>
      <c r="C22" s="26">
        <f>(400*10/Parameters!$B$6)*Parameters!$B$14*Parameters!$B$7</f>
        <v/>
      </c>
      <c r="D22" s="26">
        <f>(400*25/Parameters!$B$6)*Parameters!$B$14*Parameters!$B$7</f>
        <v/>
      </c>
      <c r="E22" s="26">
        <f>(400*50/Parameters!$B$6)*Parameters!$B$14*Parameters!$B$7</f>
        <v/>
      </c>
      <c r="F22" s="26">
        <f>(400*100/Parameters!$B$6)*Parameters!$B$14*Parameters!$B$7</f>
        <v/>
      </c>
      <c r="G22" s="26">
        <f>(400*250/Parameters!$B$6)*Parameters!$B$14*Parameters!$B$7</f>
        <v/>
      </c>
      <c r="H22" s="26">
        <f>(400*500/Parameters!$B$6)*Parameters!$B$14*Parameters!$B$7</f>
        <v/>
      </c>
      <c r="I22" s="26">
        <f>(400*1000/Parameters!$B$6)*Parameters!$B$14*Parameters!$B$7</f>
        <v/>
      </c>
    </row>
    <row r="23">
      <c r="A23" s="25" t="n">
        <v>800</v>
      </c>
      <c r="B23" s="26">
        <f>(800*5/Parameters!$B$6)*Parameters!$B$14*Parameters!$B$7</f>
        <v/>
      </c>
      <c r="C23" s="26">
        <f>(800*10/Parameters!$B$6)*Parameters!$B$14*Parameters!$B$7</f>
        <v/>
      </c>
      <c r="D23" s="26">
        <f>(800*25/Parameters!$B$6)*Parameters!$B$14*Parameters!$B$7</f>
        <v/>
      </c>
      <c r="E23" s="26">
        <f>(800*50/Parameters!$B$6)*Parameters!$B$14*Parameters!$B$7</f>
        <v/>
      </c>
      <c r="F23" s="26">
        <f>(800*100/Parameters!$B$6)*Parameters!$B$14*Parameters!$B$7</f>
        <v/>
      </c>
      <c r="G23" s="26">
        <f>(800*250/Parameters!$B$6)*Parameters!$B$14*Parameters!$B$7</f>
        <v/>
      </c>
      <c r="H23" s="26">
        <f>(800*500/Parameters!$B$6)*Parameters!$B$14*Parameters!$B$7</f>
        <v/>
      </c>
      <c r="I23" s="26">
        <f>(800*1000/Parameters!$B$6)*Parameters!$B$14*Parameters!$B$7</f>
        <v/>
      </c>
    </row>
    <row r="26">
      <c r="A26" s="27" t="inlineStr">
        <is>
          <t>3. TOTAL  -  transfer plus storage</t>
        </is>
      </c>
    </row>
    <row r="27">
      <c r="A27" s="17" t="inlineStr">
        <is>
          <t>Backups \ Size (GB)</t>
        </is>
      </c>
      <c r="B27" s="17" t="inlineStr">
        <is>
          <t>5</t>
        </is>
      </c>
      <c r="C27" s="17" t="inlineStr">
        <is>
          <t>10</t>
        </is>
      </c>
      <c r="D27" s="17" t="inlineStr">
        <is>
          <t>25</t>
        </is>
      </c>
      <c r="E27" s="17" t="inlineStr">
        <is>
          <t>50</t>
        </is>
      </c>
      <c r="F27" s="17" t="inlineStr">
        <is>
          <t>100</t>
        </is>
      </c>
      <c r="G27" s="17" t="inlineStr">
        <is>
          <t>250</t>
        </is>
      </c>
      <c r="H27" s="17" t="inlineStr">
        <is>
          <t>500</t>
        </is>
      </c>
      <c r="I27" s="17" t="inlineStr">
        <is>
          <t>1000</t>
        </is>
      </c>
    </row>
    <row r="28">
      <c r="A28" s="25" t="n">
        <v>10</v>
      </c>
      <c r="B28" s="26">
        <f>(10*5/Parameters!$B$6)*Parameters!$B$16+ROUNDUP((10*5/Parameters!$B$6)*1024/Parameters!$B$11,0)/10000*Parameters!$B$15+(10*5/Parameters!$B$6)*Parameters!$B$14*Parameters!$B$7</f>
        <v/>
      </c>
      <c r="C28" s="26">
        <f>(10*10/Parameters!$B$6)*Parameters!$B$16+ROUNDUP((10*10/Parameters!$B$6)*1024/Parameters!$B$11,0)/10000*Parameters!$B$15+(10*10/Parameters!$B$6)*Parameters!$B$14*Parameters!$B$7</f>
        <v/>
      </c>
      <c r="D28" s="26">
        <f>(10*25/Parameters!$B$6)*Parameters!$B$16+ROUNDUP((10*25/Parameters!$B$6)*1024/Parameters!$B$11,0)/10000*Parameters!$B$15+(10*25/Parameters!$B$6)*Parameters!$B$14*Parameters!$B$7</f>
        <v/>
      </c>
      <c r="E28" s="26">
        <f>(10*50/Parameters!$B$6)*Parameters!$B$16+ROUNDUP((10*50/Parameters!$B$6)*1024/Parameters!$B$11,0)/10000*Parameters!$B$15+(10*50/Parameters!$B$6)*Parameters!$B$14*Parameters!$B$7</f>
        <v/>
      </c>
      <c r="F28" s="26">
        <f>(10*100/Parameters!$B$6)*Parameters!$B$16+ROUNDUP((10*100/Parameters!$B$6)*1024/Parameters!$B$11,0)/10000*Parameters!$B$15+(10*100/Parameters!$B$6)*Parameters!$B$14*Parameters!$B$7</f>
        <v/>
      </c>
      <c r="G28" s="26">
        <f>(10*250/Parameters!$B$6)*Parameters!$B$16+ROUNDUP((10*250/Parameters!$B$6)*1024/Parameters!$B$11,0)/10000*Parameters!$B$15+(10*250/Parameters!$B$6)*Parameters!$B$14*Parameters!$B$7</f>
        <v/>
      </c>
      <c r="H28" s="26">
        <f>(10*500/Parameters!$B$6)*Parameters!$B$16+ROUNDUP((10*500/Parameters!$B$6)*1024/Parameters!$B$11,0)/10000*Parameters!$B$15+(10*500/Parameters!$B$6)*Parameters!$B$14*Parameters!$B$7</f>
        <v/>
      </c>
      <c r="I28" s="26">
        <f>(10*1000/Parameters!$B$6)*Parameters!$B$16+ROUNDUP((10*1000/Parameters!$B$6)*1024/Parameters!$B$11,0)/10000*Parameters!$B$15+(10*1000/Parameters!$B$6)*Parameters!$B$14*Parameters!$B$7</f>
        <v/>
      </c>
    </row>
    <row r="29">
      <c r="A29" s="25" t="n">
        <v>25</v>
      </c>
      <c r="B29" s="26">
        <f>(25*5/Parameters!$B$6)*Parameters!$B$16+ROUNDUP((25*5/Parameters!$B$6)*1024/Parameters!$B$11,0)/10000*Parameters!$B$15+(25*5/Parameters!$B$6)*Parameters!$B$14*Parameters!$B$7</f>
        <v/>
      </c>
      <c r="C29" s="26">
        <f>(25*10/Parameters!$B$6)*Parameters!$B$16+ROUNDUP((25*10/Parameters!$B$6)*1024/Parameters!$B$11,0)/10000*Parameters!$B$15+(25*10/Parameters!$B$6)*Parameters!$B$14*Parameters!$B$7</f>
        <v/>
      </c>
      <c r="D29" s="26">
        <f>(25*25/Parameters!$B$6)*Parameters!$B$16+ROUNDUP((25*25/Parameters!$B$6)*1024/Parameters!$B$11,0)/10000*Parameters!$B$15+(25*25/Parameters!$B$6)*Parameters!$B$14*Parameters!$B$7</f>
        <v/>
      </c>
      <c r="E29" s="26">
        <f>(25*50/Parameters!$B$6)*Parameters!$B$16+ROUNDUP((25*50/Parameters!$B$6)*1024/Parameters!$B$11,0)/10000*Parameters!$B$15+(25*50/Parameters!$B$6)*Parameters!$B$14*Parameters!$B$7</f>
        <v/>
      </c>
      <c r="F29" s="26">
        <f>(25*100/Parameters!$B$6)*Parameters!$B$16+ROUNDUP((25*100/Parameters!$B$6)*1024/Parameters!$B$11,0)/10000*Parameters!$B$15+(25*100/Parameters!$B$6)*Parameters!$B$14*Parameters!$B$7</f>
        <v/>
      </c>
      <c r="G29" s="26">
        <f>(25*250/Parameters!$B$6)*Parameters!$B$16+ROUNDUP((25*250/Parameters!$B$6)*1024/Parameters!$B$11,0)/10000*Parameters!$B$15+(25*250/Parameters!$B$6)*Parameters!$B$14*Parameters!$B$7</f>
        <v/>
      </c>
      <c r="H29" s="26">
        <f>(25*500/Parameters!$B$6)*Parameters!$B$16+ROUNDUP((25*500/Parameters!$B$6)*1024/Parameters!$B$11,0)/10000*Parameters!$B$15+(25*500/Parameters!$B$6)*Parameters!$B$14*Parameters!$B$7</f>
        <v/>
      </c>
      <c r="I29" s="26">
        <f>(25*1000/Parameters!$B$6)*Parameters!$B$16+ROUNDUP((25*1000/Parameters!$B$6)*1024/Parameters!$B$11,0)/10000*Parameters!$B$15+(25*1000/Parameters!$B$6)*Parameters!$B$14*Parameters!$B$7</f>
        <v/>
      </c>
    </row>
    <row r="30">
      <c r="A30" s="25" t="n">
        <v>50</v>
      </c>
      <c r="B30" s="26">
        <f>(50*5/Parameters!$B$6)*Parameters!$B$16+ROUNDUP((50*5/Parameters!$B$6)*1024/Parameters!$B$11,0)/10000*Parameters!$B$15+(50*5/Parameters!$B$6)*Parameters!$B$14*Parameters!$B$7</f>
        <v/>
      </c>
      <c r="C30" s="26">
        <f>(50*10/Parameters!$B$6)*Parameters!$B$16+ROUNDUP((50*10/Parameters!$B$6)*1024/Parameters!$B$11,0)/10000*Parameters!$B$15+(50*10/Parameters!$B$6)*Parameters!$B$14*Parameters!$B$7</f>
        <v/>
      </c>
      <c r="D30" s="26">
        <f>(50*25/Parameters!$B$6)*Parameters!$B$16+ROUNDUP((50*25/Parameters!$B$6)*1024/Parameters!$B$11,0)/10000*Parameters!$B$15+(50*25/Parameters!$B$6)*Parameters!$B$14*Parameters!$B$7</f>
        <v/>
      </c>
      <c r="E30" s="26">
        <f>(50*50/Parameters!$B$6)*Parameters!$B$16+ROUNDUP((50*50/Parameters!$B$6)*1024/Parameters!$B$11,0)/10000*Parameters!$B$15+(50*50/Parameters!$B$6)*Parameters!$B$14*Parameters!$B$7</f>
        <v/>
      </c>
      <c r="F30" s="26">
        <f>(50*100/Parameters!$B$6)*Parameters!$B$16+ROUNDUP((50*100/Parameters!$B$6)*1024/Parameters!$B$11,0)/10000*Parameters!$B$15+(50*100/Parameters!$B$6)*Parameters!$B$14*Parameters!$B$7</f>
        <v/>
      </c>
      <c r="G30" s="26">
        <f>(50*250/Parameters!$B$6)*Parameters!$B$16+ROUNDUP((50*250/Parameters!$B$6)*1024/Parameters!$B$11,0)/10000*Parameters!$B$15+(50*250/Parameters!$B$6)*Parameters!$B$14*Parameters!$B$7</f>
        <v/>
      </c>
      <c r="H30" s="26">
        <f>(50*500/Parameters!$B$6)*Parameters!$B$16+ROUNDUP((50*500/Parameters!$B$6)*1024/Parameters!$B$11,0)/10000*Parameters!$B$15+(50*500/Parameters!$B$6)*Parameters!$B$14*Parameters!$B$7</f>
        <v/>
      </c>
      <c r="I30" s="26">
        <f>(50*1000/Parameters!$B$6)*Parameters!$B$16+ROUNDUP((50*1000/Parameters!$B$6)*1024/Parameters!$B$11,0)/10000*Parameters!$B$15+(50*1000/Parameters!$B$6)*Parameters!$B$14*Parameters!$B$7</f>
        <v/>
      </c>
    </row>
    <row r="31">
      <c r="A31" s="25" t="n">
        <v>100</v>
      </c>
      <c r="B31" s="26">
        <f>(100*5/Parameters!$B$6)*Parameters!$B$16+ROUNDUP((100*5/Parameters!$B$6)*1024/Parameters!$B$11,0)/10000*Parameters!$B$15+(100*5/Parameters!$B$6)*Parameters!$B$14*Parameters!$B$7</f>
        <v/>
      </c>
      <c r="C31" s="26">
        <f>(100*10/Parameters!$B$6)*Parameters!$B$16+ROUNDUP((100*10/Parameters!$B$6)*1024/Parameters!$B$11,0)/10000*Parameters!$B$15+(100*10/Parameters!$B$6)*Parameters!$B$14*Parameters!$B$7</f>
        <v/>
      </c>
      <c r="D31" s="26">
        <f>(100*25/Parameters!$B$6)*Parameters!$B$16+ROUNDUP((100*25/Parameters!$B$6)*1024/Parameters!$B$11,0)/10000*Parameters!$B$15+(100*25/Parameters!$B$6)*Parameters!$B$14*Parameters!$B$7</f>
        <v/>
      </c>
      <c r="E31" s="26">
        <f>(100*50/Parameters!$B$6)*Parameters!$B$16+ROUNDUP((100*50/Parameters!$B$6)*1024/Parameters!$B$11,0)/10000*Parameters!$B$15+(100*50/Parameters!$B$6)*Parameters!$B$14*Parameters!$B$7</f>
        <v/>
      </c>
      <c r="F31" s="26">
        <f>(100*100/Parameters!$B$6)*Parameters!$B$16+ROUNDUP((100*100/Parameters!$B$6)*1024/Parameters!$B$11,0)/10000*Parameters!$B$15+(100*100/Parameters!$B$6)*Parameters!$B$14*Parameters!$B$7</f>
        <v/>
      </c>
      <c r="G31" s="26">
        <f>(100*250/Parameters!$B$6)*Parameters!$B$16+ROUNDUP((100*250/Parameters!$B$6)*1024/Parameters!$B$11,0)/10000*Parameters!$B$15+(100*250/Parameters!$B$6)*Parameters!$B$14*Parameters!$B$7</f>
        <v/>
      </c>
      <c r="H31" s="26">
        <f>(100*500/Parameters!$B$6)*Parameters!$B$16+ROUNDUP((100*500/Parameters!$B$6)*1024/Parameters!$B$11,0)/10000*Parameters!$B$15+(100*500/Parameters!$B$6)*Parameters!$B$14*Parameters!$B$7</f>
        <v/>
      </c>
      <c r="I31" s="26">
        <f>(100*1000/Parameters!$B$6)*Parameters!$B$16+ROUNDUP((100*1000/Parameters!$B$6)*1024/Parameters!$B$11,0)/10000*Parameters!$B$15+(100*1000/Parameters!$B$6)*Parameters!$B$14*Parameters!$B$7</f>
        <v/>
      </c>
    </row>
    <row r="32">
      <c r="A32" s="25" t="n">
        <v>200</v>
      </c>
      <c r="B32" s="26">
        <f>(200*5/Parameters!$B$6)*Parameters!$B$16+ROUNDUP((200*5/Parameters!$B$6)*1024/Parameters!$B$11,0)/10000*Parameters!$B$15+(200*5/Parameters!$B$6)*Parameters!$B$14*Parameters!$B$7</f>
        <v/>
      </c>
      <c r="C32" s="26">
        <f>(200*10/Parameters!$B$6)*Parameters!$B$16+ROUNDUP((200*10/Parameters!$B$6)*1024/Parameters!$B$11,0)/10000*Parameters!$B$15+(200*10/Parameters!$B$6)*Parameters!$B$14*Parameters!$B$7</f>
        <v/>
      </c>
      <c r="D32" s="26">
        <f>(200*25/Parameters!$B$6)*Parameters!$B$16+ROUNDUP((200*25/Parameters!$B$6)*1024/Parameters!$B$11,0)/10000*Parameters!$B$15+(200*25/Parameters!$B$6)*Parameters!$B$14*Parameters!$B$7</f>
        <v/>
      </c>
      <c r="E32" s="26">
        <f>(200*50/Parameters!$B$6)*Parameters!$B$16+ROUNDUP((200*50/Parameters!$B$6)*1024/Parameters!$B$11,0)/10000*Parameters!$B$15+(200*50/Parameters!$B$6)*Parameters!$B$14*Parameters!$B$7</f>
        <v/>
      </c>
      <c r="F32" s="26">
        <f>(200*100/Parameters!$B$6)*Parameters!$B$16+ROUNDUP((200*100/Parameters!$B$6)*1024/Parameters!$B$11,0)/10000*Parameters!$B$15+(200*100/Parameters!$B$6)*Parameters!$B$14*Parameters!$B$7</f>
        <v/>
      </c>
      <c r="G32" s="26">
        <f>(200*250/Parameters!$B$6)*Parameters!$B$16+ROUNDUP((200*250/Parameters!$B$6)*1024/Parameters!$B$11,0)/10000*Parameters!$B$15+(200*250/Parameters!$B$6)*Parameters!$B$14*Parameters!$B$7</f>
        <v/>
      </c>
      <c r="H32" s="26">
        <f>(200*500/Parameters!$B$6)*Parameters!$B$16+ROUNDUP((200*500/Parameters!$B$6)*1024/Parameters!$B$11,0)/10000*Parameters!$B$15+(200*500/Parameters!$B$6)*Parameters!$B$14*Parameters!$B$7</f>
        <v/>
      </c>
      <c r="I32" s="26">
        <f>(200*1000/Parameters!$B$6)*Parameters!$B$16+ROUNDUP((200*1000/Parameters!$B$6)*1024/Parameters!$B$11,0)/10000*Parameters!$B$15+(200*1000/Parameters!$B$6)*Parameters!$B$14*Parameters!$B$7</f>
        <v/>
      </c>
    </row>
    <row r="33">
      <c r="A33" s="25" t="n">
        <v>400</v>
      </c>
      <c r="B33" s="26">
        <f>(400*5/Parameters!$B$6)*Parameters!$B$16+ROUNDUP((400*5/Parameters!$B$6)*1024/Parameters!$B$11,0)/10000*Parameters!$B$15+(400*5/Parameters!$B$6)*Parameters!$B$14*Parameters!$B$7</f>
        <v/>
      </c>
      <c r="C33" s="26">
        <f>(400*10/Parameters!$B$6)*Parameters!$B$16+ROUNDUP((400*10/Parameters!$B$6)*1024/Parameters!$B$11,0)/10000*Parameters!$B$15+(400*10/Parameters!$B$6)*Parameters!$B$14*Parameters!$B$7</f>
        <v/>
      </c>
      <c r="D33" s="26">
        <f>(400*25/Parameters!$B$6)*Parameters!$B$16+ROUNDUP((400*25/Parameters!$B$6)*1024/Parameters!$B$11,0)/10000*Parameters!$B$15+(400*25/Parameters!$B$6)*Parameters!$B$14*Parameters!$B$7</f>
        <v/>
      </c>
      <c r="E33" s="26">
        <f>(400*50/Parameters!$B$6)*Parameters!$B$16+ROUNDUP((400*50/Parameters!$B$6)*1024/Parameters!$B$11,0)/10000*Parameters!$B$15+(400*50/Parameters!$B$6)*Parameters!$B$14*Parameters!$B$7</f>
        <v/>
      </c>
      <c r="F33" s="26">
        <f>(400*100/Parameters!$B$6)*Parameters!$B$16+ROUNDUP((400*100/Parameters!$B$6)*1024/Parameters!$B$11,0)/10000*Parameters!$B$15+(400*100/Parameters!$B$6)*Parameters!$B$14*Parameters!$B$7</f>
        <v/>
      </c>
      <c r="G33" s="26">
        <f>(400*250/Parameters!$B$6)*Parameters!$B$16+ROUNDUP((400*250/Parameters!$B$6)*1024/Parameters!$B$11,0)/10000*Parameters!$B$15+(400*250/Parameters!$B$6)*Parameters!$B$14*Parameters!$B$7</f>
        <v/>
      </c>
      <c r="H33" s="26">
        <f>(400*500/Parameters!$B$6)*Parameters!$B$16+ROUNDUP((400*500/Parameters!$B$6)*1024/Parameters!$B$11,0)/10000*Parameters!$B$15+(400*500/Parameters!$B$6)*Parameters!$B$14*Parameters!$B$7</f>
        <v/>
      </c>
      <c r="I33" s="26">
        <f>(400*1000/Parameters!$B$6)*Parameters!$B$16+ROUNDUP((400*1000/Parameters!$B$6)*1024/Parameters!$B$11,0)/10000*Parameters!$B$15+(400*1000/Parameters!$B$6)*Parameters!$B$14*Parameters!$B$7</f>
        <v/>
      </c>
    </row>
    <row r="34">
      <c r="A34" s="25" t="n">
        <v>800</v>
      </c>
      <c r="B34" s="26">
        <f>(800*5/Parameters!$B$6)*Parameters!$B$16+ROUNDUP((800*5/Parameters!$B$6)*1024/Parameters!$B$11,0)/10000*Parameters!$B$15+(800*5/Parameters!$B$6)*Parameters!$B$14*Parameters!$B$7</f>
        <v/>
      </c>
      <c r="C34" s="26">
        <f>(800*10/Parameters!$B$6)*Parameters!$B$16+ROUNDUP((800*10/Parameters!$B$6)*1024/Parameters!$B$11,0)/10000*Parameters!$B$15+(800*10/Parameters!$B$6)*Parameters!$B$14*Parameters!$B$7</f>
        <v/>
      </c>
      <c r="D34" s="26">
        <f>(800*25/Parameters!$B$6)*Parameters!$B$16+ROUNDUP((800*25/Parameters!$B$6)*1024/Parameters!$B$11,0)/10000*Parameters!$B$15+(800*25/Parameters!$B$6)*Parameters!$B$14*Parameters!$B$7</f>
        <v/>
      </c>
      <c r="E34" s="26">
        <f>(800*50/Parameters!$B$6)*Parameters!$B$16+ROUNDUP((800*50/Parameters!$B$6)*1024/Parameters!$B$11,0)/10000*Parameters!$B$15+(800*50/Parameters!$B$6)*Parameters!$B$14*Parameters!$B$7</f>
        <v/>
      </c>
      <c r="F34" s="26">
        <f>(800*100/Parameters!$B$6)*Parameters!$B$16+ROUNDUP((800*100/Parameters!$B$6)*1024/Parameters!$B$11,0)/10000*Parameters!$B$15+(800*100/Parameters!$B$6)*Parameters!$B$14*Parameters!$B$7</f>
        <v/>
      </c>
      <c r="G34" s="26">
        <f>(800*250/Parameters!$B$6)*Parameters!$B$16+ROUNDUP((800*250/Parameters!$B$6)*1024/Parameters!$B$11,0)/10000*Parameters!$B$15+(800*250/Parameters!$B$6)*Parameters!$B$14*Parameters!$B$7</f>
        <v/>
      </c>
      <c r="H34" s="26">
        <f>(800*500/Parameters!$B$6)*Parameters!$B$16+ROUNDUP((800*500/Parameters!$B$6)*1024/Parameters!$B$11,0)/10000*Parameters!$B$15+(800*500/Parameters!$B$6)*Parameters!$B$14*Parameters!$B$7</f>
        <v/>
      </c>
      <c r="I34" s="26">
        <f>(800*1000/Parameters!$B$6)*Parameters!$B$16+ROUNDUP((800*1000/Parameters!$B$6)*1024/Parameters!$B$11,0)/10000*Parameters!$B$15+(800*1000/Parameters!$B$6)*Parameters!$B$14*Parameters!$B$7</f>
        <v/>
      </c>
    </row>
    <row r="37">
      <c r="A37" s="6" t="inlineStr">
        <is>
          <t>If block 1 is all zeros, that is correct: same-region transfer is free, including into a storage account in a different subscription.</t>
        </is>
      </c>
    </row>
  </sheetData>
  <mergeCells count="6">
    <mergeCell ref="A15:I15"/>
    <mergeCell ref="A2:I2"/>
    <mergeCell ref="A37:I37"/>
    <mergeCell ref="A1:I1"/>
    <mergeCell ref="A4:I4"/>
    <mergeCell ref="A26:I2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workbookViewId="0">
      <pane ySplit="4" topLeftCell="A5" activePane="bottomLeft" state="frozen"/>
      <selection pane="bottomLeft" activeCell="A1" sqref="A1"/>
    </sheetView>
  </sheetViews>
  <sheetFormatPr baseColWidth="8" defaultRowHeight="15"/>
  <cols>
    <col width="22" customWidth="1" min="1" max="1"/>
    <col width="18" customWidth="1" min="2" max="2"/>
    <col width="18" customWidth="1" min="3" max="3"/>
    <col width="22" customWidth="1" min="4" max="4"/>
    <col width="20" customWidth="1" min="5" max="5"/>
    <col width="18" customWidth="1" min="6" max="6"/>
    <col width="22" customWidth="1" min="7" max="7"/>
  </cols>
  <sheetData>
    <row r="1" ht="24" customHeight="1">
      <c r="A1" s="1" t="inlineStr">
        <is>
          <t>What each storage tier costs for the current scenario</t>
        </is>
      </c>
    </row>
    <row r="2">
      <c r="A2" s="6" t="inlineStr">
        <is>
          <t>Scenario comes from 'Parameters'. 'Read back once' is what it costs to retrieve every artifact a single time: the column people forget until an auditor asks.</t>
        </is>
      </c>
    </row>
    <row r="4">
      <c r="A4" s="17" t="inlineStr">
        <is>
          <t>Tier + redundancy</t>
        </is>
      </c>
      <c r="B4" s="17" t="inlineStr">
        <is>
          <t>Stored $/GB/mo</t>
        </is>
      </c>
      <c r="C4" s="17" t="inlineStr">
        <is>
          <t>Storage / month</t>
        </is>
      </c>
      <c r="D4" s="17" t="inlineStr">
        <is>
          <t>Storage over retention</t>
        </is>
      </c>
      <c r="E4" s="17" t="inlineStr">
        <is>
          <t>Transfer (one time)</t>
        </is>
      </c>
      <c r="F4" s="17" t="inlineStr">
        <is>
          <t>TOTAL</t>
        </is>
      </c>
      <c r="G4" s="17" t="inlineStr">
        <is>
          <t>Read back once</t>
        </is>
      </c>
    </row>
    <row r="5">
      <c r="A5" s="28" t="inlineStr">
        <is>
          <t>Hot GRS</t>
        </is>
      </c>
      <c r="B5" s="19">
        <f>INDEX(Prices!$D$5:$D$25,MATCH("Hot GRS",Prices!$A$5:$A$25,0))</f>
        <v/>
      </c>
      <c r="C5" s="26">
        <f>Parameters!$B$20*$B5</f>
        <v/>
      </c>
      <c r="D5" s="26">
        <f>$C5*Parameters!$B$7</f>
        <v/>
      </c>
      <c r="E5" s="26">
        <f>Parameters!$B$20*Parameters!$B$16+Parameters!$B$21/10000*INDEX(Prices!$E$5:$E$25,MATCH("Hot GRS",Prices!$A$5:$A$25,0))</f>
        <v/>
      </c>
      <c r="F5" s="29">
        <f>$D5+$E5</f>
        <v/>
      </c>
      <c r="G5" s="26">
        <f>Parameters!$B$20*INDEX(Prices!$G$5:$G$25,MATCH("Hot GRS",Prices!$A$5:$A$25,0))+Parameters!$B$21/10000*INDEX(Prices!$F$5:$F$25,MATCH("Hot GRS",Prices!$A$5:$A$25,0))</f>
        <v/>
      </c>
    </row>
    <row r="6">
      <c r="A6" s="28" t="inlineStr">
        <is>
          <t>Hot GZRS</t>
        </is>
      </c>
      <c r="B6" s="19">
        <f>INDEX(Prices!$D$5:$D$25,MATCH("Hot GZRS",Prices!$A$5:$A$25,0))</f>
        <v/>
      </c>
      <c r="C6" s="26">
        <f>Parameters!$B$20*$B6</f>
        <v/>
      </c>
      <c r="D6" s="26">
        <f>$C6*Parameters!$B$7</f>
        <v/>
      </c>
      <c r="E6" s="26">
        <f>Parameters!$B$20*Parameters!$B$16+Parameters!$B$21/10000*INDEX(Prices!$E$5:$E$25,MATCH("Hot GZRS",Prices!$A$5:$A$25,0))</f>
        <v/>
      </c>
      <c r="F6" s="29">
        <f>$D6+$E6</f>
        <v/>
      </c>
      <c r="G6" s="26">
        <f>Parameters!$B$20*INDEX(Prices!$G$5:$G$25,MATCH("Hot GZRS",Prices!$A$5:$A$25,0))+Parameters!$B$21/10000*INDEX(Prices!$F$5:$F$25,MATCH("Hot GZRS",Prices!$A$5:$A$25,0))</f>
        <v/>
      </c>
    </row>
    <row r="7">
      <c r="A7" s="28" t="inlineStr">
        <is>
          <t>Hot LRS</t>
        </is>
      </c>
      <c r="B7" s="19">
        <f>INDEX(Prices!$D$5:$D$25,MATCH("Hot LRS",Prices!$A$5:$A$25,0))</f>
        <v/>
      </c>
      <c r="C7" s="26">
        <f>Parameters!$B$20*$B7</f>
        <v/>
      </c>
      <c r="D7" s="26">
        <f>$C7*Parameters!$B$7</f>
        <v/>
      </c>
      <c r="E7" s="26">
        <f>Parameters!$B$20*Parameters!$B$16+Parameters!$B$21/10000*INDEX(Prices!$E$5:$E$25,MATCH("Hot LRS",Prices!$A$5:$A$25,0))</f>
        <v/>
      </c>
      <c r="F7" s="29">
        <f>$D7+$E7</f>
        <v/>
      </c>
      <c r="G7" s="26">
        <f>Parameters!$B$20*INDEX(Prices!$G$5:$G$25,MATCH("Hot LRS",Prices!$A$5:$A$25,0))+Parameters!$B$21/10000*INDEX(Prices!$F$5:$F$25,MATCH("Hot LRS",Prices!$A$5:$A$25,0))</f>
        <v/>
      </c>
    </row>
    <row r="8">
      <c r="A8" s="28" t="inlineStr">
        <is>
          <t>Hot RA-GRS</t>
        </is>
      </c>
      <c r="B8" s="19">
        <f>INDEX(Prices!$D$5:$D$25,MATCH("Hot RA-GRS",Prices!$A$5:$A$25,0))</f>
        <v/>
      </c>
      <c r="C8" s="26">
        <f>Parameters!$B$20*$B8</f>
        <v/>
      </c>
      <c r="D8" s="26">
        <f>$C8*Parameters!$B$7</f>
        <v/>
      </c>
      <c r="E8" s="26">
        <f>Parameters!$B$20*Parameters!$B$16+Parameters!$B$21/10000*INDEX(Prices!$E$5:$E$25,MATCH("Hot RA-GRS",Prices!$A$5:$A$25,0))</f>
        <v/>
      </c>
      <c r="F8" s="29">
        <f>$D8+$E8</f>
        <v/>
      </c>
      <c r="G8" s="26">
        <f>Parameters!$B$20*INDEX(Prices!$G$5:$G$25,MATCH("Hot RA-GRS",Prices!$A$5:$A$25,0))+Parameters!$B$21/10000*INDEX(Prices!$F$5:$F$25,MATCH("Hot RA-GRS",Prices!$A$5:$A$25,0))</f>
        <v/>
      </c>
    </row>
    <row r="9">
      <c r="A9" s="28" t="inlineStr">
        <is>
          <t>Hot RA-GZRS</t>
        </is>
      </c>
      <c r="B9" s="19">
        <f>INDEX(Prices!$D$5:$D$25,MATCH("Hot RA-GZRS",Prices!$A$5:$A$25,0))</f>
        <v/>
      </c>
      <c r="C9" s="26">
        <f>Parameters!$B$20*$B9</f>
        <v/>
      </c>
      <c r="D9" s="26">
        <f>$C9*Parameters!$B$7</f>
        <v/>
      </c>
      <c r="E9" s="26">
        <f>Parameters!$B$20*Parameters!$B$16+Parameters!$B$21/10000*INDEX(Prices!$E$5:$E$25,MATCH("Hot RA-GZRS",Prices!$A$5:$A$25,0))</f>
        <v/>
      </c>
      <c r="F9" s="29">
        <f>$D9+$E9</f>
        <v/>
      </c>
      <c r="G9" s="26">
        <f>Parameters!$B$20*INDEX(Prices!$G$5:$G$25,MATCH("Hot RA-GZRS",Prices!$A$5:$A$25,0))+Parameters!$B$21/10000*INDEX(Prices!$F$5:$F$25,MATCH("Hot RA-GZRS",Prices!$A$5:$A$25,0))</f>
        <v/>
      </c>
    </row>
    <row r="10">
      <c r="A10" s="28" t="inlineStr">
        <is>
          <t>Hot ZRS</t>
        </is>
      </c>
      <c r="B10" s="19">
        <f>INDEX(Prices!$D$5:$D$25,MATCH("Hot ZRS",Prices!$A$5:$A$25,0))</f>
        <v/>
      </c>
      <c r="C10" s="26">
        <f>Parameters!$B$20*$B10</f>
        <v/>
      </c>
      <c r="D10" s="26">
        <f>$C10*Parameters!$B$7</f>
        <v/>
      </c>
      <c r="E10" s="26">
        <f>Parameters!$B$20*Parameters!$B$16+Parameters!$B$21/10000*INDEX(Prices!$E$5:$E$25,MATCH("Hot ZRS",Prices!$A$5:$A$25,0))</f>
        <v/>
      </c>
      <c r="F10" s="29">
        <f>$D10+$E10</f>
        <v/>
      </c>
      <c r="G10" s="26">
        <f>Parameters!$B$20*INDEX(Prices!$G$5:$G$25,MATCH("Hot ZRS",Prices!$A$5:$A$25,0))+Parameters!$B$21/10000*INDEX(Prices!$F$5:$F$25,MATCH("Hot ZRS",Prices!$A$5:$A$25,0))</f>
        <v/>
      </c>
    </row>
    <row r="11">
      <c r="A11" s="28" t="inlineStr">
        <is>
          <t>Cool GRS</t>
        </is>
      </c>
      <c r="B11" s="19">
        <f>INDEX(Prices!$D$5:$D$25,MATCH("Cool GRS",Prices!$A$5:$A$25,0))</f>
        <v/>
      </c>
      <c r="C11" s="26">
        <f>Parameters!$B$20*$B11</f>
        <v/>
      </c>
      <c r="D11" s="26">
        <f>$C11*Parameters!$B$7</f>
        <v/>
      </c>
      <c r="E11" s="26">
        <f>Parameters!$B$20*Parameters!$B$16+Parameters!$B$21/10000*INDEX(Prices!$E$5:$E$25,MATCH("Cool GRS",Prices!$A$5:$A$25,0))</f>
        <v/>
      </c>
      <c r="F11" s="29">
        <f>$D11+$E11</f>
        <v/>
      </c>
      <c r="G11" s="26">
        <f>Parameters!$B$20*INDEX(Prices!$G$5:$G$25,MATCH("Cool GRS",Prices!$A$5:$A$25,0))+Parameters!$B$21/10000*INDEX(Prices!$F$5:$F$25,MATCH("Cool GRS",Prices!$A$5:$A$25,0))</f>
        <v/>
      </c>
    </row>
    <row r="12">
      <c r="A12" s="28" t="inlineStr">
        <is>
          <t>Cool GZRS</t>
        </is>
      </c>
      <c r="B12" s="19">
        <f>INDEX(Prices!$D$5:$D$25,MATCH("Cool GZRS",Prices!$A$5:$A$25,0))</f>
        <v/>
      </c>
      <c r="C12" s="26">
        <f>Parameters!$B$20*$B12</f>
        <v/>
      </c>
      <c r="D12" s="26">
        <f>$C12*Parameters!$B$7</f>
        <v/>
      </c>
      <c r="E12" s="26">
        <f>Parameters!$B$20*Parameters!$B$16+Parameters!$B$21/10000*INDEX(Prices!$E$5:$E$25,MATCH("Cool GZRS",Prices!$A$5:$A$25,0))</f>
        <v/>
      </c>
      <c r="F12" s="29">
        <f>$D12+$E12</f>
        <v/>
      </c>
      <c r="G12" s="26">
        <f>Parameters!$B$20*INDEX(Prices!$G$5:$G$25,MATCH("Cool GZRS",Prices!$A$5:$A$25,0))+Parameters!$B$21/10000*INDEX(Prices!$F$5:$F$25,MATCH("Cool GZRS",Prices!$A$5:$A$25,0))</f>
        <v/>
      </c>
    </row>
    <row r="13">
      <c r="A13" s="28" t="inlineStr">
        <is>
          <t>Cool LRS</t>
        </is>
      </c>
      <c r="B13" s="19">
        <f>INDEX(Prices!$D$5:$D$25,MATCH("Cool LRS",Prices!$A$5:$A$25,0))</f>
        <v/>
      </c>
      <c r="C13" s="26">
        <f>Parameters!$B$20*$B13</f>
        <v/>
      </c>
      <c r="D13" s="26">
        <f>$C13*Parameters!$B$7</f>
        <v/>
      </c>
      <c r="E13" s="26">
        <f>Parameters!$B$20*Parameters!$B$16+Parameters!$B$21/10000*INDEX(Prices!$E$5:$E$25,MATCH("Cool LRS",Prices!$A$5:$A$25,0))</f>
        <v/>
      </c>
      <c r="F13" s="29">
        <f>$D13+$E13</f>
        <v/>
      </c>
      <c r="G13" s="26">
        <f>Parameters!$B$20*INDEX(Prices!$G$5:$G$25,MATCH("Cool LRS",Prices!$A$5:$A$25,0))+Parameters!$B$21/10000*INDEX(Prices!$F$5:$F$25,MATCH("Cool LRS",Prices!$A$5:$A$25,0))</f>
        <v/>
      </c>
    </row>
    <row r="14">
      <c r="A14" s="28" t="inlineStr">
        <is>
          <t>Cool RA-GRS</t>
        </is>
      </c>
      <c r="B14" s="19">
        <f>INDEX(Prices!$D$5:$D$25,MATCH("Cool RA-GRS",Prices!$A$5:$A$25,0))</f>
        <v/>
      </c>
      <c r="C14" s="26">
        <f>Parameters!$B$20*$B14</f>
        <v/>
      </c>
      <c r="D14" s="26">
        <f>$C14*Parameters!$B$7</f>
        <v/>
      </c>
      <c r="E14" s="26">
        <f>Parameters!$B$20*Parameters!$B$16+Parameters!$B$21/10000*INDEX(Prices!$E$5:$E$25,MATCH("Cool RA-GRS",Prices!$A$5:$A$25,0))</f>
        <v/>
      </c>
      <c r="F14" s="29">
        <f>$D14+$E14</f>
        <v/>
      </c>
      <c r="G14" s="26">
        <f>Parameters!$B$20*INDEX(Prices!$G$5:$G$25,MATCH("Cool RA-GRS",Prices!$A$5:$A$25,0))+Parameters!$B$21/10000*INDEX(Prices!$F$5:$F$25,MATCH("Cool RA-GRS",Prices!$A$5:$A$25,0))</f>
        <v/>
      </c>
    </row>
    <row r="15">
      <c r="A15" s="28" t="inlineStr">
        <is>
          <t>Cool RA-GZRS</t>
        </is>
      </c>
      <c r="B15" s="19">
        <f>INDEX(Prices!$D$5:$D$25,MATCH("Cool RA-GZRS",Prices!$A$5:$A$25,0))</f>
        <v/>
      </c>
      <c r="C15" s="26">
        <f>Parameters!$B$20*$B15</f>
        <v/>
      </c>
      <c r="D15" s="26">
        <f>$C15*Parameters!$B$7</f>
        <v/>
      </c>
      <c r="E15" s="26">
        <f>Parameters!$B$20*Parameters!$B$16+Parameters!$B$21/10000*INDEX(Prices!$E$5:$E$25,MATCH("Cool RA-GZRS",Prices!$A$5:$A$25,0))</f>
        <v/>
      </c>
      <c r="F15" s="29">
        <f>$D15+$E15</f>
        <v/>
      </c>
      <c r="G15" s="26">
        <f>Parameters!$B$20*INDEX(Prices!$G$5:$G$25,MATCH("Cool RA-GZRS",Prices!$A$5:$A$25,0))+Parameters!$B$21/10000*INDEX(Prices!$F$5:$F$25,MATCH("Cool RA-GZRS",Prices!$A$5:$A$25,0))</f>
        <v/>
      </c>
    </row>
    <row r="16">
      <c r="A16" s="28" t="inlineStr">
        <is>
          <t>Cool ZRS</t>
        </is>
      </c>
      <c r="B16" s="19">
        <f>INDEX(Prices!$D$5:$D$25,MATCH("Cool ZRS",Prices!$A$5:$A$25,0))</f>
        <v/>
      </c>
      <c r="C16" s="26">
        <f>Parameters!$B$20*$B16</f>
        <v/>
      </c>
      <c r="D16" s="26">
        <f>$C16*Parameters!$B$7</f>
        <v/>
      </c>
      <c r="E16" s="26">
        <f>Parameters!$B$20*Parameters!$B$16+Parameters!$B$21/10000*INDEX(Prices!$E$5:$E$25,MATCH("Cool ZRS",Prices!$A$5:$A$25,0))</f>
        <v/>
      </c>
      <c r="F16" s="29">
        <f>$D16+$E16</f>
        <v/>
      </c>
      <c r="G16" s="26">
        <f>Parameters!$B$20*INDEX(Prices!$G$5:$G$25,MATCH("Cool ZRS",Prices!$A$5:$A$25,0))+Parameters!$B$21/10000*INDEX(Prices!$F$5:$F$25,MATCH("Cool ZRS",Prices!$A$5:$A$25,0))</f>
        <v/>
      </c>
    </row>
    <row r="17">
      <c r="A17" s="28" t="inlineStr">
        <is>
          <t>Cold GRS</t>
        </is>
      </c>
      <c r="B17" s="19">
        <f>INDEX(Prices!$D$5:$D$25,MATCH("Cold GRS",Prices!$A$5:$A$25,0))</f>
        <v/>
      </c>
      <c r="C17" s="26">
        <f>Parameters!$B$20*$B17</f>
        <v/>
      </c>
      <c r="D17" s="26">
        <f>$C17*Parameters!$B$7</f>
        <v/>
      </c>
      <c r="E17" s="26">
        <f>Parameters!$B$20*Parameters!$B$16+Parameters!$B$21/10000*INDEX(Prices!$E$5:$E$25,MATCH("Cold GRS",Prices!$A$5:$A$25,0))</f>
        <v/>
      </c>
      <c r="F17" s="29">
        <f>$D17+$E17</f>
        <v/>
      </c>
      <c r="G17" s="26">
        <f>Parameters!$B$20*INDEX(Prices!$G$5:$G$25,MATCH("Cold GRS",Prices!$A$5:$A$25,0))+Parameters!$B$21/10000*INDEX(Prices!$F$5:$F$25,MATCH("Cold GRS",Prices!$A$5:$A$25,0))</f>
        <v/>
      </c>
    </row>
    <row r="18">
      <c r="A18" s="28" t="inlineStr">
        <is>
          <t>Cold GZRS</t>
        </is>
      </c>
      <c r="B18" s="19">
        <f>INDEX(Prices!$D$5:$D$25,MATCH("Cold GZRS",Prices!$A$5:$A$25,0))</f>
        <v/>
      </c>
      <c r="C18" s="26">
        <f>Parameters!$B$20*$B18</f>
        <v/>
      </c>
      <c r="D18" s="26">
        <f>$C18*Parameters!$B$7</f>
        <v/>
      </c>
      <c r="E18" s="26">
        <f>Parameters!$B$20*Parameters!$B$16+Parameters!$B$21/10000*INDEX(Prices!$E$5:$E$25,MATCH("Cold GZRS",Prices!$A$5:$A$25,0))</f>
        <v/>
      </c>
      <c r="F18" s="29">
        <f>$D18+$E18</f>
        <v/>
      </c>
      <c r="G18" s="26">
        <f>Parameters!$B$20*INDEX(Prices!$G$5:$G$25,MATCH("Cold GZRS",Prices!$A$5:$A$25,0))+Parameters!$B$21/10000*INDEX(Prices!$F$5:$F$25,MATCH("Cold GZRS",Prices!$A$5:$A$25,0))</f>
        <v/>
      </c>
    </row>
    <row r="19">
      <c r="A19" s="28" t="inlineStr">
        <is>
          <t>Cold LRS</t>
        </is>
      </c>
      <c r="B19" s="19">
        <f>INDEX(Prices!$D$5:$D$25,MATCH("Cold LRS",Prices!$A$5:$A$25,0))</f>
        <v/>
      </c>
      <c r="C19" s="26">
        <f>Parameters!$B$20*$B19</f>
        <v/>
      </c>
      <c r="D19" s="26">
        <f>$C19*Parameters!$B$7</f>
        <v/>
      </c>
      <c r="E19" s="26">
        <f>Parameters!$B$20*Parameters!$B$16+Parameters!$B$21/10000*INDEX(Prices!$E$5:$E$25,MATCH("Cold LRS",Prices!$A$5:$A$25,0))</f>
        <v/>
      </c>
      <c r="F19" s="29">
        <f>$D19+$E19</f>
        <v/>
      </c>
      <c r="G19" s="26">
        <f>Parameters!$B$20*INDEX(Prices!$G$5:$G$25,MATCH("Cold LRS",Prices!$A$5:$A$25,0))+Parameters!$B$21/10000*INDEX(Prices!$F$5:$F$25,MATCH("Cold LRS",Prices!$A$5:$A$25,0))</f>
        <v/>
      </c>
    </row>
    <row r="20">
      <c r="A20" s="28" t="inlineStr">
        <is>
          <t>Cold RA-GRS</t>
        </is>
      </c>
      <c r="B20" s="19">
        <f>INDEX(Prices!$D$5:$D$25,MATCH("Cold RA-GRS",Prices!$A$5:$A$25,0))</f>
        <v/>
      </c>
      <c r="C20" s="26">
        <f>Parameters!$B$20*$B20</f>
        <v/>
      </c>
      <c r="D20" s="26">
        <f>$C20*Parameters!$B$7</f>
        <v/>
      </c>
      <c r="E20" s="26">
        <f>Parameters!$B$20*Parameters!$B$16+Parameters!$B$21/10000*INDEX(Prices!$E$5:$E$25,MATCH("Cold RA-GRS",Prices!$A$5:$A$25,0))</f>
        <v/>
      </c>
      <c r="F20" s="29">
        <f>$D20+$E20</f>
        <v/>
      </c>
      <c r="G20" s="26">
        <f>Parameters!$B$20*INDEX(Prices!$G$5:$G$25,MATCH("Cold RA-GRS",Prices!$A$5:$A$25,0))+Parameters!$B$21/10000*INDEX(Prices!$F$5:$F$25,MATCH("Cold RA-GRS",Prices!$A$5:$A$25,0))</f>
        <v/>
      </c>
    </row>
    <row r="21">
      <c r="A21" s="28" t="inlineStr">
        <is>
          <t>Cold RA-GZRS</t>
        </is>
      </c>
      <c r="B21" s="19">
        <f>INDEX(Prices!$D$5:$D$25,MATCH("Cold RA-GZRS",Prices!$A$5:$A$25,0))</f>
        <v/>
      </c>
      <c r="C21" s="26">
        <f>Parameters!$B$20*$B21</f>
        <v/>
      </c>
      <c r="D21" s="26">
        <f>$C21*Parameters!$B$7</f>
        <v/>
      </c>
      <c r="E21" s="26">
        <f>Parameters!$B$20*Parameters!$B$16+Parameters!$B$21/10000*INDEX(Prices!$E$5:$E$25,MATCH("Cold RA-GZRS",Prices!$A$5:$A$25,0))</f>
        <v/>
      </c>
      <c r="F21" s="29">
        <f>$D21+$E21</f>
        <v/>
      </c>
      <c r="G21" s="26">
        <f>Parameters!$B$20*INDEX(Prices!$G$5:$G$25,MATCH("Cold RA-GZRS",Prices!$A$5:$A$25,0))+Parameters!$B$21/10000*INDEX(Prices!$F$5:$F$25,MATCH("Cold RA-GZRS",Prices!$A$5:$A$25,0))</f>
        <v/>
      </c>
    </row>
    <row r="22">
      <c r="A22" s="28" t="inlineStr">
        <is>
          <t>Cold ZRS</t>
        </is>
      </c>
      <c r="B22" s="19">
        <f>INDEX(Prices!$D$5:$D$25,MATCH("Cold ZRS",Prices!$A$5:$A$25,0))</f>
        <v/>
      </c>
      <c r="C22" s="26">
        <f>Parameters!$B$20*$B22</f>
        <v/>
      </c>
      <c r="D22" s="26">
        <f>$C22*Parameters!$B$7</f>
        <v/>
      </c>
      <c r="E22" s="26">
        <f>Parameters!$B$20*Parameters!$B$16+Parameters!$B$21/10000*INDEX(Prices!$E$5:$E$25,MATCH("Cold ZRS",Prices!$A$5:$A$25,0))</f>
        <v/>
      </c>
      <c r="F22" s="29">
        <f>$D22+$E22</f>
        <v/>
      </c>
      <c r="G22" s="26">
        <f>Parameters!$B$20*INDEX(Prices!$G$5:$G$25,MATCH("Cold ZRS",Prices!$A$5:$A$25,0))+Parameters!$B$21/10000*INDEX(Prices!$F$5:$F$25,MATCH("Cold ZRS",Prices!$A$5:$A$25,0))</f>
        <v/>
      </c>
    </row>
    <row r="23">
      <c r="A23" s="30" t="inlineStr">
        <is>
          <t>Archive GRS</t>
        </is>
      </c>
      <c r="B23" s="9">
        <f>INDEX(Prices!$D$5:$D$25,MATCH("Archive GRS",Prices!$A$5:$A$25,0))</f>
        <v/>
      </c>
      <c r="C23" s="12">
        <f>Parameters!$B$20*$B23</f>
        <v/>
      </c>
      <c r="D23" s="12">
        <f>$C23*Parameters!$B$7</f>
        <v/>
      </c>
      <c r="E23" s="12">
        <f>Parameters!$B$20*Parameters!$B$16+Parameters!$B$21/10000*INDEX(Prices!$E$5:$E$25,MATCH("Archive GRS",Prices!$A$5:$A$25,0))</f>
        <v/>
      </c>
      <c r="F23" s="31">
        <f>$D23+$E23</f>
        <v/>
      </c>
      <c r="G23" s="12">
        <f>Parameters!$B$20*INDEX(Prices!$G$5:$G$25,MATCH("Archive GRS",Prices!$A$5:$A$25,0))+Parameters!$B$21/10000*INDEX(Prices!$F$5:$F$25,MATCH("Archive GRS",Prices!$A$5:$A$25,0))</f>
        <v/>
      </c>
    </row>
    <row r="24">
      <c r="A24" s="30" t="inlineStr">
        <is>
          <t>Archive LRS</t>
        </is>
      </c>
      <c r="B24" s="9">
        <f>INDEX(Prices!$D$5:$D$25,MATCH("Archive LRS",Prices!$A$5:$A$25,0))</f>
        <v/>
      </c>
      <c r="C24" s="12">
        <f>Parameters!$B$20*$B24</f>
        <v/>
      </c>
      <c r="D24" s="12">
        <f>$C24*Parameters!$B$7</f>
        <v/>
      </c>
      <c r="E24" s="12">
        <f>Parameters!$B$20*Parameters!$B$16+Parameters!$B$21/10000*INDEX(Prices!$E$5:$E$25,MATCH("Archive LRS",Prices!$A$5:$A$25,0))</f>
        <v/>
      </c>
      <c r="F24" s="31">
        <f>$D24+$E24</f>
        <v/>
      </c>
      <c r="G24" s="12">
        <f>Parameters!$B$20*INDEX(Prices!$G$5:$G$25,MATCH("Archive LRS",Prices!$A$5:$A$25,0))+Parameters!$B$21/10000*INDEX(Prices!$F$5:$F$25,MATCH("Archive LRS",Prices!$A$5:$A$25,0))</f>
        <v/>
      </c>
    </row>
    <row r="25">
      <c r="A25" s="30" t="inlineStr">
        <is>
          <t>Archive RA-GRS</t>
        </is>
      </c>
      <c r="B25" s="9">
        <f>INDEX(Prices!$D$5:$D$25,MATCH("Archive RA-GRS",Prices!$A$5:$A$25,0))</f>
        <v/>
      </c>
      <c r="C25" s="12">
        <f>Parameters!$B$20*$B25</f>
        <v/>
      </c>
      <c r="D25" s="12">
        <f>$C25*Parameters!$B$7</f>
        <v/>
      </c>
      <c r="E25" s="12">
        <f>Parameters!$B$20*Parameters!$B$16+Parameters!$B$21/10000*INDEX(Prices!$E$5:$E$25,MATCH("Archive RA-GRS",Prices!$A$5:$A$25,0))</f>
        <v/>
      </c>
      <c r="F25" s="31">
        <f>$D25+$E25</f>
        <v/>
      </c>
      <c r="G25" s="12">
        <f>Parameters!$B$20*INDEX(Prices!$G$5:$G$25,MATCH("Archive RA-GRS",Prices!$A$5:$A$25,0))+Parameters!$B$21/10000*INDEX(Prices!$F$5:$F$25,MATCH("Archive RA-GRS",Prices!$A$5:$A$25,0))</f>
        <v/>
      </c>
    </row>
    <row r="27">
      <c r="A27" s="32" t="inlineStr">
        <is>
          <t>Archive rows are highlighted: they are almost always the right answer for compliance copies that must exist but will probably never be read. Two caveats. Rehydration takes up to 15 hours at standard priority, and there is a 180-day minimum retention charge, so deleting early still bills you for 180 days.</t>
        </is>
      </c>
    </row>
    <row r="28"/>
    <row r="29"/>
  </sheetData>
  <mergeCells count="3">
    <mergeCell ref="A2:G2"/>
    <mergeCell ref="A1:G1"/>
    <mergeCell ref="A27:G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6" customWidth="1" min="1" max="1"/>
    <col width="16" customWidth="1" min="2" max="2"/>
    <col width="24" customWidth="1" min="3" max="3"/>
    <col width="18" customWidth="1" min="4" max="4"/>
    <col width="56" customWidth="1" min="5" max="5"/>
  </cols>
  <sheetData>
    <row r="1" ht="24" customHeight="1">
      <c r="A1" s="1" t="inlineStr">
        <is>
          <t>How much the answer moves with the compression ratio</t>
        </is>
      </c>
    </row>
    <row r="2">
      <c r="A2" s="6" t="inlineStr">
        <is>
          <t>Compression is the least certain input and it scales the largest term. Everything else comes from 'Parameters'. Budget with the worst ratio you actually measure, not the average you hope for.</t>
        </is>
      </c>
    </row>
    <row r="4">
      <c r="A4" s="17" t="inlineStr">
        <is>
          <t>Compression</t>
        </is>
      </c>
      <c r="B4" s="17" t="inlineStr">
        <is>
          <t>Artifact GB</t>
        </is>
      </c>
      <c r="C4" s="17" t="inlineStr">
        <is>
          <t>Storage over retention</t>
        </is>
      </c>
      <c r="D4" s="17" t="inlineStr">
        <is>
          <t>TOTAL</t>
        </is>
      </c>
      <c r="E4" s="17" t="inlineStr">
        <is>
          <t>What this looks like in practice</t>
        </is>
      </c>
    </row>
    <row r="5">
      <c r="A5" s="33" t="n">
        <v>1</v>
      </c>
      <c r="B5" s="34">
        <f>Parameters!$B$19/$A5</f>
        <v/>
      </c>
      <c r="C5" s="26">
        <f>$B5*Parameters!$B$14*Parameters!$B$7</f>
        <v/>
      </c>
      <c r="D5" s="26">
        <f>$C5+$B5*Parameters!$B$16+ROUNDUP($B5*1024/Parameters!$B$11,0)/10000*Parameters!$B$15</f>
        <v/>
      </c>
      <c r="E5" s="35" t="inlineStr">
        <is>
          <t>No compression at all.</t>
        </is>
      </c>
    </row>
    <row r="6">
      <c r="A6" s="36" t="n">
        <v>1.02</v>
      </c>
      <c r="B6" s="37">
        <f>Parameters!$B$19/$A6</f>
        <v/>
      </c>
      <c r="C6" s="16">
        <f>$B6*Parameters!$B$14*Parameters!$B$7</f>
        <v/>
      </c>
      <c r="D6" s="16">
        <f>$C6+$B6*Parameters!$B$16+ROUNDUP($B6*1024/Parameters!$B$11,0)/10000*Parameters!$B$15</f>
        <v/>
      </c>
      <c r="E6" s="35" t="inlineStr">
        <is>
          <t>Measured worst case: already-compressed or encrypted data.</t>
        </is>
      </c>
    </row>
    <row r="7">
      <c r="A7" s="33" t="n">
        <v>1.5</v>
      </c>
      <c r="B7" s="34">
        <f>Parameters!$B$19/$A7</f>
        <v/>
      </c>
      <c r="C7" s="26">
        <f>$B7*Parameters!$B$14*Parameters!$B$7</f>
        <v/>
      </c>
      <c r="D7" s="26">
        <f>$C7+$B7*Parameters!$B$16+ROUNDUP($B7*1024/Parameters!$B$11,0)/10000*Parameters!$B$15</f>
        <v/>
      </c>
      <c r="E7" s="35" t="inlineStr">
        <is>
          <t>Pessimistic.</t>
        </is>
      </c>
    </row>
    <row r="8">
      <c r="A8" s="33" t="n">
        <v>2</v>
      </c>
      <c r="B8" s="34">
        <f>Parameters!$B$19/$A8</f>
        <v/>
      </c>
      <c r="C8" s="26">
        <f>$B8*Parameters!$B$14*Parameters!$B$7</f>
        <v/>
      </c>
      <c r="D8" s="26">
        <f>$C8+$B8*Parameters!$B$16+ROUNDUP($B8*1024/Parameters!$B$11,0)/10000*Parameters!$B$15</f>
        <v/>
      </c>
      <c r="E8" s="35" t="inlineStr">
        <is>
          <t>Conservative planning number.</t>
        </is>
      </c>
    </row>
    <row r="9">
      <c r="A9" s="33" t="n">
        <v>3</v>
      </c>
      <c r="B9" s="34">
        <f>Parameters!$B$19/$A9</f>
        <v/>
      </c>
      <c r="C9" s="26">
        <f>$B9*Parameters!$B$14*Parameters!$B$7</f>
        <v/>
      </c>
      <c r="D9" s="26">
        <f>$C9+$B9*Parameters!$B$16+ROUNDUP($B9*1024/Parameters!$B$11,0)/10000*Parameters!$B$15</f>
        <v/>
      </c>
      <c r="E9" s="35" t="inlineStr">
        <is>
          <t>Typical native .bak with COMPRESSION.</t>
        </is>
      </c>
    </row>
    <row r="10">
      <c r="A10" s="38" t="n">
        <v>4</v>
      </c>
      <c r="B10" s="39">
        <f>Parameters!$B$19/$A10</f>
        <v/>
      </c>
      <c r="C10" s="40">
        <f>$B10*Parameters!$B$14*Parameters!$B$7</f>
        <v/>
      </c>
      <c r="D10" s="40">
        <f>$C10+$B10*Parameters!$B$16+ROUNDUP($B10*1024/Parameters!$B$11,0)/10000*Parameters!$B$15</f>
        <v/>
      </c>
      <c r="E10" s="35" t="inlineStr">
        <is>
          <t>Default assumption in the toolkit. Unverified.</t>
        </is>
      </c>
    </row>
    <row r="11">
      <c r="A11" s="33" t="n">
        <v>6</v>
      </c>
      <c r="B11" s="34">
        <f>Parameters!$B$19/$A11</f>
        <v/>
      </c>
      <c r="C11" s="26">
        <f>$B11*Parameters!$B$14*Parameters!$B$7</f>
        <v/>
      </c>
      <c r="D11" s="26">
        <f>$C11+$B11*Parameters!$B$16+ROUNDUP($B11*1024/Parameters!$B$11,0)/10000*Parameters!$B$15</f>
        <v/>
      </c>
      <c r="E11" s="35" t="inlineStr">
        <is>
          <t>Optimistic; text-heavy schemas.</t>
        </is>
      </c>
    </row>
    <row r="12">
      <c r="A12" s="33" t="n">
        <v>10</v>
      </c>
      <c r="B12" s="34">
        <f>Parameters!$B$19/$A12</f>
        <v/>
      </c>
      <c r="C12" s="26">
        <f>$B12*Parameters!$B$14*Parameters!$B$7</f>
        <v/>
      </c>
      <c r="D12" s="26">
        <f>$C12+$B12*Parameters!$B$16+ROUNDUP($B12*1024/Parameters!$B$11,0)/10000*Parameters!$B$15</f>
        <v/>
      </c>
      <c r="E12" s="35" t="inlineStr">
        <is>
          <t>Very repetitive data.</t>
        </is>
      </c>
    </row>
    <row r="13">
      <c r="A13" s="33" t="n">
        <v>33</v>
      </c>
      <c r="B13" s="34">
        <f>Parameters!$B$19/$A13</f>
        <v/>
      </c>
      <c r="C13" s="26">
        <f>$B13*Parameters!$B$14*Parameters!$B$7</f>
        <v/>
      </c>
      <c r="D13" s="26">
        <f>$C13+$B13*Parameters!$B$16+ROUNDUP($B13*1024/Parameters!$B$11,0)/10000*Parameters!$B$15</f>
        <v/>
      </c>
      <c r="E13" s="35" t="inlineStr">
        <is>
          <t>Measured best case: highly repetitive test data. Do not plan on this.</t>
        </is>
      </c>
    </row>
    <row r="15">
      <c r="A15" s="4" t="inlineStr">
        <is>
          <t>Worst case vs default assumption:</t>
        </is>
      </c>
      <c r="D15" s="41">
        <f>IFERROR($D6/$D10,0)</f>
        <v/>
      </c>
    </row>
    <row r="17">
      <c r="A17" s="6" t="inlineStr">
        <is>
          <t>Yellow is the toolkit default. Orange is the measured worst case. The gap between them is the single largest source of error in this model.</t>
        </is>
      </c>
    </row>
  </sheetData>
  <mergeCells count="4">
    <mergeCell ref="A2:E2"/>
    <mergeCell ref="A1:E1"/>
    <mergeCell ref="A17:E17"/>
    <mergeCell ref="A15: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2026-09-10T06:32:45Z</dcterms:created>
  <dcterms:modified xmlns:dcterms="http://purl.org/dc/terms/" xmlns:xsi="http://www.w3.org/2001/XMLSchema-instance" xsi:type="dcterms:W3CDTF">2026-09-10T06:32:45Z</dcterms:modified>
</cp:coreProperties>
</file>