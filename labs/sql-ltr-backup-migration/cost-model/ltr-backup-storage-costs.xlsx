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rameters" sheetId="2" state="visible" r:id="rId2"/>
    <sheet xmlns:r="http://schemas.openxmlformats.org/officeDocument/2006/relationships" name="Prices" sheetId="3" state="visible" r:id="rId3"/>
    <sheet xmlns:r="http://schemas.openxmlformats.org/officeDocument/2006/relationships" name="Cost matrix" sheetId="4" state="visible" r:id="rId4"/>
    <sheet xmlns:r="http://schemas.openxmlformats.org/officeDocument/2006/relationships" name="Tier comparison" sheetId="5" state="visible" r:id="rId5"/>
    <sheet xmlns:r="http://schemas.openxmlformats.org/officeDocument/2006/relationships" name="Compression sensitivity" sheetId="6" state="visible" r:id="rId6"/>
    <sheet xmlns:r="http://schemas.openxmlformats.org/officeDocument/2006/relationships" name="Private endpoint variant" sheetId="7" state="visible" r:id="rId7"/>
  </sheets>
  <definedNames/>
  <calcPr calcId="124519" fullCalcOnLoad="1"/>
</workbook>
</file>

<file path=xl/styles.xml><?xml version="1.0" encoding="utf-8"?>
<styleSheet xmlns="http://schemas.openxmlformats.org/spreadsheetml/2006/main">
  <numFmts count="5">
    <numFmt numFmtId="164" formatCode="&quot;$&quot;#,##0.000000"/>
    <numFmt numFmtId="165" formatCode="&quot;$&quot;#,##0.0000"/>
    <numFmt numFmtId="166" formatCode="&quot;$&quot;#,##0.00"/>
    <numFmt numFmtId="167" formatCode="0.0%"/>
    <numFmt numFmtId="168" formatCode="0.0&quot;x&quot;"/>
  </numFmts>
  <fonts count="8">
    <font>
      <name val="Calibri"/>
      <family val="2"/>
      <color theme="1"/>
      <sz val="11"/>
      <scheme val="minor"/>
    </font>
    <font>
      <b val="1"/>
      <color rgb="00FFFFFF"/>
      <sz val="14"/>
    </font>
    <font>
      <b val="1"/>
      <color rgb="001F4E79"/>
    </font>
    <font>
      <i val="1"/>
      <color rgb="00595959"/>
      <sz val="9"/>
    </font>
    <font>
      <b val="1"/>
      <color rgb="00FFFFFF"/>
    </font>
    <font>
      <b val="1"/>
    </font>
    <font>
      <b val="1"/>
      <sz val="12"/>
    </font>
    <font>
      <b val="1"/>
      <color rgb="00FFFFFF"/>
      <sz val="11"/>
    </font>
  </fonts>
  <fills count="9">
    <fill>
      <patternFill/>
    </fill>
    <fill>
      <patternFill patternType="gray125"/>
    </fill>
    <fill>
      <patternFill patternType="solid">
        <fgColor rgb="001F4E79"/>
      </patternFill>
    </fill>
    <fill>
      <patternFill patternType="solid">
        <fgColor rgb="002E75B6"/>
      </patternFill>
    </fill>
    <fill>
      <patternFill patternType="solid">
        <fgColor rgb="00FCE4D6"/>
      </patternFill>
    </fill>
    <fill>
      <patternFill patternType="solid">
        <fgColor rgb="00F2F2F2"/>
      </patternFill>
    </fill>
    <fill>
      <patternFill patternType="solid">
        <fgColor rgb="00FFF2CC"/>
      </patternFill>
    </fill>
    <fill>
      <patternFill patternType="solid">
        <fgColor rgb="00E2EFDA"/>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0" fillId="0" borderId="0" applyAlignment="1" pivotButton="0" quotePrefix="0" xfId="0">
      <alignment vertical="top" wrapText="1"/>
    </xf>
    <xf numFmtId="0" fontId="5" fillId="0" borderId="0" pivotButton="0" quotePrefix="0" xfId="0"/>
    <xf numFmtId="3" fontId="5" fillId="6" borderId="1" pivotButton="0" quotePrefix="0" xfId="0"/>
    <xf numFmtId="0" fontId="3" fillId="0" borderId="0" pivotButton="0" quotePrefix="0" xfId="0"/>
    <xf numFmtId="4" fontId="5" fillId="6" borderId="1" pivotButton="0" quotePrefix="0" xfId="0"/>
    <xf numFmtId="0" fontId="5" fillId="6" borderId="1" pivotButton="0" quotePrefix="0" xfId="0"/>
    <xf numFmtId="164" fontId="0" fillId="7" borderId="1" pivotButton="0" quotePrefix="0" xfId="0"/>
    <xf numFmtId="165" fontId="0" fillId="7" borderId="1" pivotButton="0" quotePrefix="0" xfId="0"/>
    <xf numFmtId="3" fontId="0" fillId="7" borderId="1" pivotButton="0" quotePrefix="0" xfId="0"/>
    <xf numFmtId="166" fontId="0" fillId="7" borderId="1" pivotButton="0" quotePrefix="0" xfId="0"/>
    <xf numFmtId="0" fontId="6" fillId="0" borderId="0" pivotButton="0" quotePrefix="0" xfId="0"/>
    <xf numFmtId="166" fontId="6" fillId="4" borderId="1" pivotButton="0" quotePrefix="0" xfId="0"/>
    <xf numFmtId="167" fontId="0" fillId="7" borderId="1" pivotButton="0" quotePrefix="0" xfId="0"/>
    <xf numFmtId="166" fontId="0" fillId="4" borderId="1" pivotButton="0" quotePrefix="0" xfId="0"/>
    <xf numFmtId="0" fontId="3" fillId="0" borderId="0" applyAlignment="1" pivotButton="0" quotePrefix="0" xfId="0">
      <alignment vertical="top" wrapText="1"/>
    </xf>
    <xf numFmtId="0" fontId="4" fillId="3" borderId="1" applyAlignment="1" pivotButton="0" quotePrefix="0" xfId="0">
      <alignment horizontal="center" wrapText="1"/>
    </xf>
    <xf numFmtId="0" fontId="0" fillId="0" borderId="1" pivotButton="0" quotePrefix="0" xfId="0"/>
    <xf numFmtId="164" fontId="0" fillId="0" borderId="1" pivotButton="0" quotePrefix="0" xfId="0"/>
    <xf numFmtId="165" fontId="0" fillId="0" borderId="1" pivotButton="0" quotePrefix="0" xfId="0"/>
    <xf numFmtId="0" fontId="3" fillId="4" borderId="1" pivotButton="0" quotePrefix="0" xfId="0"/>
    <xf numFmtId="0" fontId="3" fillId="0" borderId="1" pivotButton="0" quotePrefix="0" xfId="0"/>
    <xf numFmtId="0" fontId="0" fillId="5" borderId="1" pivotButton="0" quotePrefix="0" xfId="0"/>
    <xf numFmtId="164" fontId="0" fillId="5" borderId="1" pivotButton="0" quotePrefix="0" xfId="0"/>
    <xf numFmtId="165" fontId="0" fillId="5" borderId="1" pivotButton="0" quotePrefix="0" xfId="0"/>
    <xf numFmtId="0" fontId="7" fillId="3" borderId="0" pivotButton="0" quotePrefix="0" xfId="0"/>
    <xf numFmtId="3" fontId="5" fillId="5" borderId="1" pivotButton="0" quotePrefix="0" xfId="0"/>
    <xf numFmtId="166" fontId="0" fillId="0" borderId="1" pivotButton="0" quotePrefix="0" xfId="0"/>
    <xf numFmtId="0" fontId="7" fillId="8" borderId="0" pivotButton="0" quotePrefix="0" xfId="0"/>
    <xf numFmtId="0" fontId="5" fillId="0" borderId="1" pivotButton="0" quotePrefix="0" xfId="0"/>
    <xf numFmtId="166" fontId="5" fillId="0" borderId="1" pivotButton="0" quotePrefix="0" xfId="0"/>
    <xf numFmtId="0" fontId="5" fillId="7" borderId="1" pivotButton="0" quotePrefix="0" xfId="0"/>
    <xf numFmtId="166" fontId="5" fillId="7" borderId="1" pivotButton="0" quotePrefix="0" xfId="0"/>
    <xf numFmtId="4" fontId="0" fillId="0" borderId="1" pivotButton="0" quotePrefix="0" xfId="0"/>
    <xf numFmtId="3" fontId="0" fillId="0" borderId="1" pivotButton="0" quotePrefix="0" xfId="0"/>
    <xf numFmtId="4" fontId="0" fillId="4" borderId="1" pivotButton="0" quotePrefix="0" xfId="0"/>
    <xf numFmtId="3" fontId="0" fillId="4" borderId="1" pivotButton="0" quotePrefix="0" xfId="0"/>
    <xf numFmtId="4" fontId="0" fillId="6" borderId="1" pivotButton="0" quotePrefix="0" xfId="0"/>
    <xf numFmtId="3" fontId="0" fillId="6" borderId="1" pivotButton="0" quotePrefix="0" xfId="0"/>
    <xf numFmtId="166" fontId="0" fillId="6" borderId="1" pivotButton="0" quotePrefix="0" xfId="0"/>
    <xf numFmtId="168" fontId="5" fillId="4" borderId="0" pivotButton="0" quotePrefix="0" xfId="0"/>
    <xf numFmtId="166" fontId="6" fillId="7" borderId="1" pivotButton="0" quotePrefix="0" xfId="0"/>
    <xf numFmtId="168" fontId="0" fillId="4" borderId="1" pivotButton="0" quotePrefix="0" xfId="0"/>
    <xf numFmtId="0"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96" customWidth="1" min="2" max="2"/>
  </cols>
  <sheetData>
    <row r="1" ht="24" customHeight="1">
      <c r="A1" s="1" t="inlineStr">
        <is>
          <t>Azure SQL LTR backups: transfer and long-term storage cost</t>
        </is>
      </c>
    </row>
    <row r="3">
      <c r="A3" s="2" t="inlineStr">
        <is>
          <t>What this models</t>
        </is>
      </c>
    </row>
    <row r="4" ht="39" customHeight="1">
      <c r="B4" s="3" t="inlineStr">
        <is>
          <t>The cost of draining Azure SQL Database / Managed Instance long-term retention (LTR) backups into a storage account and keeping them there. Use it when the subscription that owns the LTR backups is going to be deleted.</t>
        </is>
      </c>
    </row>
    <row r="5" ht="39" customHeight="1">
      <c r="B5" s="3" t="inlineStr">
        <is>
          <t>LTR backups survive deletion of the database, the server and the instance. They do NOT survive deletion of the SUBSCRIPTION. If the subscription can be kept alive, you do not need this pipeline at all, and that is almost always the cheaper answer.</t>
        </is>
      </c>
    </row>
    <row r="7">
      <c r="A7" s="2" t="inlineStr">
        <is>
          <t>The transfer answer</t>
        </is>
      </c>
    </row>
    <row r="8" ht="15" customHeight="1">
      <c r="B8" s="3" t="inlineStr">
        <is>
          <t>Transferring the backups into a storage account is FREE in the normal case.</t>
        </is>
      </c>
    </row>
    <row r="9" ht="52" customHeight="1">
      <c r="B9" s="3" t="inlineStr">
        <is>
          <t>Ingress into Azure Storage is never charged. A subscription boundary is not a billing boundary for network traffic; only a REGION boundary is. So if the destination storage account is in the same region as the source, transfer costs $0 even when it belongs to a completely different subscription or tenant.</t>
        </is>
      </c>
    </row>
    <row r="10" ht="26" customHeight="1">
      <c r="B10" s="3" t="inlineStr">
        <is>
          <t>You only pay if you cross regions ($0.02/GB) or send the data out to the internet ($0.087/GB). Write operations cost a few cents and are included for completeness.</t>
        </is>
      </c>
    </row>
    <row r="12">
      <c r="A12" s="2" t="inlineStr">
        <is>
          <t>The real cost</t>
        </is>
      </c>
    </row>
    <row r="13" ht="26" customHeight="1">
      <c r="B13" s="3" t="inlineStr">
        <is>
          <t>Long-term storage dominates, typically by a factor of 50 or more over everything else. The two levers that matter are the storage TIER and the COMPRESSION RATIO.</t>
        </is>
      </c>
    </row>
    <row r="15">
      <c r="A15" s="2" t="inlineStr">
        <is>
          <t>How to use it</t>
        </is>
      </c>
    </row>
    <row r="16" ht="15" customHeight="1">
      <c r="B16" s="3" t="inlineStr">
        <is>
          <t>1. Open 'Parameters' and set the yellow cells. Everything else recalculates.</t>
        </is>
      </c>
    </row>
    <row r="17" ht="15" customHeight="1">
      <c r="B17" s="3" t="inlineStr">
        <is>
          <t>2. 'Cost matrix' sweeps backup count against database size.</t>
        </is>
      </c>
    </row>
    <row r="18" ht="26" customHeight="1">
      <c r="B18" s="3" t="inlineStr">
        <is>
          <t>3. 'Tier comparison' shows what each storage tier costs for your scenario, including what it costs to read the data back.</t>
        </is>
      </c>
    </row>
    <row r="19" ht="26" customHeight="1">
      <c r="B19" s="3" t="inlineStr">
        <is>
          <t>4. 'Compression sensitivity' shows how much the answer moves with the one number nobody has measured yet.</t>
        </is>
      </c>
    </row>
    <row r="20" ht="26" customHeight="1">
      <c r="B20" s="3" t="inlineStr">
        <is>
          <t>5. 'Private endpoint variant' adds the cost of reaching the storage account privately. It is additive and does not change the other sheets.</t>
        </is>
      </c>
    </row>
    <row r="22">
      <c r="A22" s="2" t="inlineStr">
        <is>
          <t>Private endpoints</t>
        </is>
      </c>
    </row>
    <row r="23" ht="52" customHeight="1">
      <c r="B23" s="3" t="inlineStr">
        <is>
          <t>If you reach the storage account over a private endpoint, the endpoint bills by the hour for as long as it exists, whether or not anything is using it. Over a multi-year retention that standing charge can exceed the cost of the data itself. The fix is to create the endpoint for the drain, delete it, and re-create it if someone ever needs to read the archive.</t>
        </is>
      </c>
    </row>
    <row r="25">
      <c r="A25" s="2" t="inlineStr">
        <is>
          <t>Confidence</t>
        </is>
      </c>
    </row>
    <row r="26" ht="26" customHeight="1">
      <c r="B26" s="3" t="inlineStr">
        <is>
          <t>VERIFIED: all prices, taken from the Azure retail prices API (see 'Prices' for the exact retrieval timestamp). Transfer and storage arithmetic.</t>
        </is>
      </c>
    </row>
    <row r="27" ht="104" customHeight="1">
      <c r="B27" s="3" t="inlineStr">
        <is>
          <t>MEASURED (2026-09-10): the compression ratio. Ratios were measured on live Azure SQL databases via sqlpackage over a private endpoint (Standard_D4s_v5, same-region, swedencentral). Mixed realistic business data: 3.98x-4.25x (validates the 4.0x default). Incompressible floor (random bytes): 1.04x. A synthetic upper bound of 145x was also observed from a single-repeated-byte seed; it is not a planning value. The remaining uncertainty is which shape the reader's data resembles: budget with 1.04x (worst case, largest artifacts) and note that mixed realistic data lands near 4x. If your databases are encrypted or pre-compressed at the application layer, use the 1.04x row.</t>
        </is>
      </c>
    </row>
    <row r="28" ht="26" customHeight="1">
      <c r="B28" s="3" t="inlineStr">
        <is>
          <t>EXCLUDED: the compute cost of restoring each backup before exporting it. It is small and one-time. See Get-LtrExportCostEstimate.ps1 in the toolkit for that half.</t>
        </is>
      </c>
    </row>
    <row r="30" ht="15" customHeight="1">
      <c r="A30" s="2" t="inlineStr">
        <is>
          <t>Prices retrieved</t>
        </is>
      </c>
      <c r="B30" s="3" t="inlineStr">
        <is>
          <t>2026-09-10T06:51:02.761357+00:00  |  region: eastus  |  USD</t>
        </is>
      </c>
    </row>
    <row r="31" ht="15" customHeight="1">
      <c r="A31" s="2" t="inlineStr">
        <is>
          <t>Caveat</t>
        </is>
      </c>
      <c r="B31" s="3" t="inlineStr">
        <is>
          <t>Retail prices exclude any enterprise agreement discount, reservation or credit.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44" customWidth="1" min="1" max="1"/>
    <col width="16" customWidth="1" min="2" max="2"/>
    <col width="66" customWidth="1" min="3" max="3"/>
    <col width="4" customWidth="1" min="4" max="4"/>
  </cols>
  <sheetData>
    <row r="1" ht="24" customHeight="1">
      <c r="A1" s="1" t="inlineStr">
        <is>
          <t>Parameters  (edit the yellow cells)</t>
        </is>
      </c>
    </row>
    <row r="3">
      <c r="A3" s="2" t="inlineStr">
        <is>
          <t>INPUTS</t>
        </is>
      </c>
    </row>
    <row r="4">
      <c r="A4" s="4" t="inlineStr">
        <is>
          <t>Number of LTR backups</t>
        </is>
      </c>
      <c r="B4" s="5" t="n">
        <v>60</v>
      </c>
      <c r="C4" s="6" t="inlineStr">
        <is>
          <t>How many restore points you must preserve.</t>
        </is>
      </c>
    </row>
    <row r="5">
      <c r="A5" s="4" t="inlineStr">
        <is>
          <t>Average database size (GB)</t>
        </is>
      </c>
      <c r="B5" s="7" t="n">
        <v>50</v>
      </c>
      <c r="C5" s="6" t="inlineStr">
        <is>
          <t>Source size, before compression.</t>
        </is>
      </c>
    </row>
    <row r="6">
      <c r="A6" s="4" t="inlineStr">
        <is>
          <t>Compression ratio</t>
        </is>
      </c>
      <c r="B6" s="7" t="n">
        <v>4</v>
      </c>
      <c r="C6" s="6" t="inlineStr">
        <is>
          <t>Source GB per artifact GB. Measured 2026-09-10: 3.98-4.25x on mixed realistic data (validates this default). Incompressible floor: 1.04x. Budget with 1.04x if you do not know your data shape. See 'Compression sensitivity' for the full range.</t>
        </is>
      </c>
    </row>
    <row r="7">
      <c r="A7" s="4" t="inlineStr">
        <is>
          <t>Retention (months)</t>
        </is>
      </c>
      <c r="B7" s="5" t="n">
        <v>84</v>
      </c>
      <c r="C7" s="6" t="inlineStr">
        <is>
          <t>84 = 7 years.</t>
        </is>
      </c>
    </row>
    <row r="8">
      <c r="A8" s="4" t="inlineStr">
        <is>
          <t>Storage tier</t>
        </is>
      </c>
      <c r="B8" s="8" t="inlineStr">
        <is>
          <t>Archive</t>
        </is>
      </c>
      <c r="C8" s="6" t="inlineStr">
        <is>
          <t>Hot / Cool / Cold / Archive.</t>
        </is>
      </c>
    </row>
    <row r="9">
      <c r="A9" s="4" t="inlineStr">
        <is>
          <t>Redundancy</t>
        </is>
      </c>
      <c r="B9" s="8" t="inlineStr">
        <is>
          <t>LRS</t>
        </is>
      </c>
      <c r="C9" s="6" t="inlineStr">
        <is>
          <t>LRS / ZRS / GRS / GZRS / RA-GRS / RA-GZRS.</t>
        </is>
      </c>
    </row>
    <row r="10">
      <c r="A10" s="4" t="inlineStr">
        <is>
          <t>Artifact destination</t>
        </is>
      </c>
      <c r="B10" s="8" t="inlineStr">
        <is>
          <t>Same region (any subscription)</t>
        </is>
      </c>
      <c r="C10" s="6" t="inlineStr">
        <is>
          <t>Same region is free, even across subscriptions.</t>
        </is>
      </c>
    </row>
    <row r="11">
      <c r="A11" s="4" t="inlineStr">
        <is>
          <t>Upload block size (MB)</t>
        </is>
      </c>
      <c r="B11" s="5" t="n">
        <v>4</v>
      </c>
      <c r="C11" s="6" t="inlineStr">
        <is>
          <t>MI BACKUP TO URL uses 4 MB. Only affects the small write-operations term.</t>
        </is>
      </c>
    </row>
    <row r="13">
      <c r="A13" s="2" t="inlineStr">
        <is>
          <t>RESOLVED RATES</t>
        </is>
      </c>
    </row>
    <row r="14">
      <c r="A14" s="4" t="inlineStr">
        <is>
          <t>Storage $/GB/month</t>
        </is>
      </c>
      <c r="B14" s="9">
        <f>IFERROR(INDEX(Prices!$D$5:$D$25,MATCH($B$8&amp;" "&amp;$B$9,Prices!$A$5:$A$25,0)),"not offered")</f>
        <v/>
      </c>
      <c r="C14" s="6" t="inlineStr">
        <is>
          <t>Looked up from the price snapshot. Archive has no ZRS.</t>
        </is>
      </c>
    </row>
    <row r="15">
      <c r="A15" s="4" t="inlineStr">
        <is>
          <t>Write $/10k operations</t>
        </is>
      </c>
      <c r="B15" s="10">
        <f>IFERROR(INDEX(Prices!$E$5:$E$25,MATCH($B$8&amp;" "&amp;$B$9,Prices!$A$5:$A$25,0)),0)</f>
        <v/>
      </c>
    </row>
    <row r="16">
      <c r="A16" s="4" t="inlineStr">
        <is>
          <t>Transfer $/GB</t>
        </is>
      </c>
      <c r="B16" s="10">
        <f>IFERROR(INDEX(Prices!$B$29:$B$31,MATCH($B$10,Prices!$A$29:$A$31,0)),0)</f>
        <v/>
      </c>
      <c r="C16" s="6" t="inlineStr">
        <is>
          <t>Egress. Zero unless you cross a region boundary.</t>
        </is>
      </c>
    </row>
    <row r="18">
      <c r="A18" s="2" t="inlineStr">
        <is>
          <t>VOLUMES</t>
        </is>
      </c>
    </row>
    <row r="19">
      <c r="A19" s="4" t="inlineStr">
        <is>
          <t>Total source data (GB)</t>
        </is>
      </c>
      <c r="B19" s="11">
        <f>$B$4*$B$5</f>
        <v/>
      </c>
      <c r="C19" s="6" t="inlineStr">
        <is>
          <t>Backups x average size.</t>
        </is>
      </c>
    </row>
    <row r="20">
      <c r="A20" s="4" t="inlineStr">
        <is>
          <t>Total artifact data (GB)</t>
        </is>
      </c>
      <c r="B20" s="11">
        <f>IF($B$6&gt;0,$B$19/$B$6,0)</f>
        <v/>
      </c>
      <c r="C20" s="6" t="inlineStr">
        <is>
          <t>What actually lands in blob storage.</t>
        </is>
      </c>
    </row>
    <row r="21">
      <c r="A21" s="4" t="inlineStr">
        <is>
          <t>Write operations</t>
        </is>
      </c>
      <c r="B21" s="11">
        <f>IF($B$11&gt;0,ROUNDUP($B$20*1024/$B$11,0),0)</f>
        <v/>
      </c>
      <c r="C21" s="6" t="inlineStr">
        <is>
          <t>One block per upload chunk.</t>
        </is>
      </c>
    </row>
    <row r="23">
      <c r="A23" s="2" t="inlineStr">
        <is>
          <t>COSTS</t>
        </is>
      </c>
    </row>
    <row r="24">
      <c r="A24" s="4" t="inlineStr">
        <is>
          <t>Transfer: bandwidth</t>
        </is>
      </c>
      <c r="B24" s="12">
        <f>$B$20*$B$16</f>
        <v/>
      </c>
      <c r="C24" s="6" t="inlineStr">
        <is>
          <t>Zero for same-region destinations.</t>
        </is>
      </c>
    </row>
    <row r="25">
      <c r="A25" s="4" t="inlineStr">
        <is>
          <t>Transfer: write operations</t>
        </is>
      </c>
      <c r="B25" s="12">
        <f>$B$21/10000*$B$15</f>
        <v/>
      </c>
      <c r="C25" s="6" t="inlineStr">
        <is>
          <t>Nearly always trivial.</t>
        </is>
      </c>
    </row>
    <row r="26">
      <c r="A26" s="4" t="inlineStr">
        <is>
          <t>Transfer: TOTAL (one time)</t>
        </is>
      </c>
      <c r="B26" s="12">
        <f>$B$24+$B$25</f>
        <v/>
      </c>
      <c r="C26" s="6" t="inlineStr">
        <is>
          <t>The whole cost of getting the data in.</t>
        </is>
      </c>
    </row>
    <row r="27">
      <c r="A27" s="4" t="inlineStr">
        <is>
          <t>Storage per month</t>
        </is>
      </c>
      <c r="B27" s="12">
        <f>$B$20*$B$14</f>
        <v/>
      </c>
    </row>
    <row r="28">
      <c r="A28" s="4" t="inlineStr">
        <is>
          <t>Storage over full retention</t>
        </is>
      </c>
      <c r="B28" s="12">
        <f>$B$27*$B$7</f>
        <v/>
      </c>
      <c r="C28" s="6" t="inlineStr">
        <is>
          <t>The number that actually matters.</t>
        </is>
      </c>
    </row>
    <row r="30">
      <c r="A30" s="13" t="inlineStr">
        <is>
          <t>GRAND TOTAL (storage side)</t>
        </is>
      </c>
      <c r="B30" s="14">
        <f>$B$26+$B$28</f>
        <v/>
      </c>
      <c r="C30" s="6" t="inlineStr">
        <is>
          <t>Transfer plus retention. Does NOT include restore/export compute.</t>
        </is>
      </c>
    </row>
    <row r="32">
      <c r="A32" s="4" t="inlineStr">
        <is>
          <t>Transfer as % of total</t>
        </is>
      </c>
      <c r="B32" s="15">
        <f>IFERROR($B$26/$B$30,0)</f>
        <v/>
      </c>
      <c r="C32" s="6" t="inlineStr">
        <is>
          <t>Usually a rounding error next to storage.</t>
        </is>
      </c>
    </row>
    <row r="33">
      <c r="A33" s="4" t="inlineStr">
        <is>
          <t>Cost to read it all back once</t>
        </is>
      </c>
      <c r="B33" s="16">
        <f>$B$20*IFERROR(INDEX(Prices!$G$5:$G$25,MATCH($B$8&amp;" "&amp;$B$9,Prices!$A$5:$A$25,0)),0)+$B$21/10000*IFERROR(INDEX(Prices!$F$5:$F$25,MATCH($B$8&amp;" "&amp;$B$9,Prices!$A$5:$A$25,0)),0)</f>
        <v/>
      </c>
      <c r="C33" s="6" t="inlineStr">
        <is>
          <t>The Archive trap: cheap to keep, not free to retrieve.</t>
        </is>
      </c>
    </row>
    <row r="35">
      <c r="A35" s="6" t="inlineStr">
        <is>
          <t>Restore/export compute is NOT included here; it is one-time and small. See Get-LtrExportCostEstimate.ps1 for that half of the model.</t>
        </is>
      </c>
    </row>
    <row r="37">
      <c r="A37" s="4" t="inlineStr">
        <is>
          <t>Banding check</t>
        </is>
      </c>
      <c r="B37" s="17">
        <f>IF(AND($B$8="Hot",$B$20&gt;51200),"Hot is volume-banded above 50 TB and this scenario exceeds it. The figures above use the first-band rate, so they are about 4% conservative.","OK - no volume banding applies at this tier and volume.")</f>
        <v/>
      </c>
    </row>
    <row r="38"/>
  </sheetData>
  <mergeCells count="3">
    <mergeCell ref="A35:C35"/>
    <mergeCell ref="A1:D1"/>
    <mergeCell ref="B37:C38"/>
  </mergeCells>
  <dataValidations count="3">
    <dataValidation sqref="B8" showDropDown="0" showInputMessage="0" showErrorMessage="0" allowBlank="0" type="list">
      <formula1>"Hot,Cool,Cold,Archive"</formula1>
    </dataValidation>
    <dataValidation sqref="B9" showDropDown="0" showInputMessage="0" showErrorMessage="0" allowBlank="0" type="list">
      <formula1>"LRS,ZRS,GRS,GZRS,RA-GRS,RA-GZRS"</formula1>
    </dataValidation>
    <dataValidation sqref="B10" showDropDown="0" showInputMessage="0" showErrorMessage="0" allowBlank="0" type="list">
      <formula1>Prices!$A$29:$A$31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4" customWidth="1" min="3" max="3"/>
    <col width="20" customWidth="1" min="4" max="4"/>
    <col width="20" customWidth="1" min="5" max="5"/>
    <col width="20" customWidth="1" min="6" max="6"/>
    <col width="22" customWidth="1" min="7" max="7"/>
    <col width="22" customWidth="1" min="8" max="8"/>
    <col width="30" customWidth="1" min="9" max="9"/>
  </cols>
  <sheetData>
    <row r="1" ht="24" customHeight="1">
      <c r="A1" s="1" t="inlineStr">
        <is>
          <t>Price snapshot from the Azure retail prices API</t>
        </is>
      </c>
    </row>
    <row r="2">
      <c r="A2" s="6" t="inlineStr">
        <is>
          <t>Retrieved 2026-09-10T06:51:02.761357+00:00 for region 'eastus' in USD. Product: General Block Blob v2. Data Stored is the first volume band (0-50 TB). Only the Hot tier is volume-banded; Cool, Cold and Archive are flat. Operation meters are not published for every redundancy; missing ones are substituted from the closest published redundancy and flagged in the Substituted column.</t>
        </is>
      </c>
    </row>
    <row r="4">
      <c r="A4" s="18" t="inlineStr">
        <is>
          <t>Key</t>
        </is>
      </c>
      <c r="B4" s="18" t="inlineStr">
        <is>
          <t>Tier</t>
        </is>
      </c>
      <c r="C4" s="18" t="inlineStr">
        <is>
          <t>Redundancy</t>
        </is>
      </c>
      <c r="D4" s="18" t="inlineStr">
        <is>
          <t>Stored $/GB/month</t>
        </is>
      </c>
      <c r="E4" s="18" t="inlineStr">
        <is>
          <t>Write $/10k ops</t>
        </is>
      </c>
      <c r="F4" s="18" t="inlineStr">
        <is>
          <t>Read $/10k ops</t>
        </is>
      </c>
      <c r="G4" s="18" t="inlineStr">
        <is>
          <t>Retrieval $/GB</t>
        </is>
      </c>
      <c r="H4" s="18" t="inlineStr">
        <is>
          <t>Volume banded?</t>
        </is>
      </c>
      <c r="I4" s="18" t="inlineStr">
        <is>
          <t>Substituted rates</t>
        </is>
      </c>
    </row>
    <row r="5">
      <c r="A5" s="19" t="inlineStr">
        <is>
          <t>Hot GRS</t>
        </is>
      </c>
      <c r="B5" s="19" t="inlineStr">
        <is>
          <t>Hot</t>
        </is>
      </c>
      <c r="C5" s="19" t="inlineStr">
        <is>
          <t>GRS</t>
        </is>
      </c>
      <c r="D5" s="20" t="n">
        <v>0.0458</v>
      </c>
      <c r="E5" s="21" t="n">
        <v>0.1</v>
      </c>
      <c r="F5" s="21" t="n">
        <v>0.004</v>
      </c>
      <c r="G5" s="21" t="n">
        <v>0</v>
      </c>
      <c r="H5" s="22" t="inlineStr">
        <is>
          <t>over 51,200 GB: $0.043968; over 512,000 GB: $0.042136</t>
        </is>
      </c>
      <c r="I5" s="19" t="n"/>
    </row>
    <row r="6">
      <c r="A6" s="19" t="inlineStr">
        <is>
          <t>Hot GZRS</t>
        </is>
      </c>
      <c r="B6" s="19" t="inlineStr">
        <is>
          <t>Hot</t>
        </is>
      </c>
      <c r="C6" s="19" t="inlineStr">
        <is>
          <t>GZRS</t>
        </is>
      </c>
      <c r="D6" s="20" t="n">
        <v>0.0468</v>
      </c>
      <c r="E6" s="21" t="n">
        <v>0.1175</v>
      </c>
      <c r="F6" s="21" t="n">
        <v>0.004</v>
      </c>
      <c r="G6" s="21" t="n">
        <v>0</v>
      </c>
      <c r="H6" s="22" t="inlineStr">
        <is>
          <t>over 51,200 GB: $0.044928; over 512,000 GB: $0.043056</t>
        </is>
      </c>
      <c r="I6" s="19" t="n"/>
    </row>
    <row r="7">
      <c r="A7" s="19" t="inlineStr">
        <is>
          <t>Hot LRS</t>
        </is>
      </c>
      <c r="B7" s="19" t="inlineStr">
        <is>
          <t>Hot</t>
        </is>
      </c>
      <c r="C7" s="19" t="inlineStr">
        <is>
          <t>LRS</t>
        </is>
      </c>
      <c r="D7" s="20" t="n">
        <v>0.0208</v>
      </c>
      <c r="E7" s="21" t="n">
        <v>0.05</v>
      </c>
      <c r="F7" s="21" t="n">
        <v>0.004</v>
      </c>
      <c r="G7" s="21" t="n">
        <v>0</v>
      </c>
      <c r="H7" s="22" t="inlineStr">
        <is>
          <t>over 51,200 GB: $0.019968; over 512,000 GB: $0.019136</t>
        </is>
      </c>
      <c r="I7" s="19" t="n"/>
    </row>
    <row r="8">
      <c r="A8" s="19" t="inlineStr">
        <is>
          <t>Hot RA-GRS</t>
        </is>
      </c>
      <c r="B8" s="19" t="inlineStr">
        <is>
          <t>Hot</t>
        </is>
      </c>
      <c r="C8" s="19" t="inlineStr">
        <is>
          <t>RA-GRS</t>
        </is>
      </c>
      <c r="D8" s="20" t="n">
        <v>0.0589</v>
      </c>
      <c r="E8" s="21" t="n">
        <v>0.1</v>
      </c>
      <c r="F8" s="21" t="n">
        <v>0.004</v>
      </c>
      <c r="G8" s="21" t="n">
        <v>0</v>
      </c>
      <c r="H8" s="22" t="inlineStr">
        <is>
          <t>over 51,200 GB: $0.056544; over 512,000 GB: $0.054188</t>
        </is>
      </c>
      <c r="I8" s="19" t="n"/>
    </row>
    <row r="9">
      <c r="A9" s="19" t="inlineStr">
        <is>
          <t>Hot RA-GZRS</t>
        </is>
      </c>
      <c r="B9" s="19" t="inlineStr">
        <is>
          <t>Hot</t>
        </is>
      </c>
      <c r="C9" s="19" t="inlineStr">
        <is>
          <t>RA-GZRS</t>
        </is>
      </c>
      <c r="D9" s="20" t="n">
        <v>0.0585</v>
      </c>
      <c r="E9" s="21" t="n">
        <v>0.1175</v>
      </c>
      <c r="F9" s="21" t="n">
        <v>0.004</v>
      </c>
      <c r="G9" s="21" t="n">
        <v>0</v>
      </c>
      <c r="H9" s="22" t="inlineStr">
        <is>
          <t>over 51,200 GB: $0.056160; over 512,000 GB: $0.053820</t>
        </is>
      </c>
      <c r="I9" s="22" t="inlineStr">
        <is>
          <t>write_usd_per_10k from GZRS</t>
        </is>
      </c>
    </row>
    <row r="10">
      <c r="A10" s="19" t="inlineStr">
        <is>
          <t>Hot ZRS</t>
        </is>
      </c>
      <c r="B10" s="19" t="inlineStr">
        <is>
          <t>Hot</t>
        </is>
      </c>
      <c r="C10" s="19" t="inlineStr">
        <is>
          <t>ZRS</t>
        </is>
      </c>
      <c r="D10" s="20" t="n">
        <v>0.026</v>
      </c>
      <c r="E10" s="21" t="n">
        <v>0.0625</v>
      </c>
      <c r="F10" s="21" t="n">
        <v>0.004</v>
      </c>
      <c r="G10" s="21" t="n">
        <v>0</v>
      </c>
      <c r="H10" s="22" t="inlineStr">
        <is>
          <t>over 51,200 GB: $0.024960; over 512,000 GB: $0.023920</t>
        </is>
      </c>
      <c r="I10" s="19" t="n"/>
    </row>
    <row r="11">
      <c r="A11" s="19" t="inlineStr">
        <is>
          <t>Cool GRS</t>
        </is>
      </c>
      <c r="B11" s="19" t="inlineStr">
        <is>
          <t>Cool</t>
        </is>
      </c>
      <c r="C11" s="19" t="inlineStr">
        <is>
          <t>GRS</t>
        </is>
      </c>
      <c r="D11" s="20" t="n">
        <v>0.0334</v>
      </c>
      <c r="E11" s="21" t="n">
        <v>0.2</v>
      </c>
      <c r="F11" s="21" t="n">
        <v>0.01</v>
      </c>
      <c r="G11" s="21" t="n">
        <v>0.01</v>
      </c>
      <c r="H11" s="23" t="inlineStr">
        <is>
          <t>flat</t>
        </is>
      </c>
      <c r="I11" s="19" t="n"/>
    </row>
    <row r="12">
      <c r="A12" s="19" t="inlineStr">
        <is>
          <t>Cool GZRS</t>
        </is>
      </c>
      <c r="B12" s="19" t="inlineStr">
        <is>
          <t>Cool</t>
        </is>
      </c>
      <c r="C12" s="19" t="inlineStr">
        <is>
          <t>GZRS</t>
        </is>
      </c>
      <c r="D12" s="20" t="n">
        <v>0.0342</v>
      </c>
      <c r="E12" s="21" t="n">
        <v>0.2</v>
      </c>
      <c r="F12" s="21" t="n">
        <v>0.01</v>
      </c>
      <c r="G12" s="21" t="n">
        <v>0.01</v>
      </c>
      <c r="H12" s="23" t="inlineStr">
        <is>
          <t>flat</t>
        </is>
      </c>
      <c r="I12" s="19" t="n"/>
    </row>
    <row r="13">
      <c r="A13" s="19" t="inlineStr">
        <is>
          <t>Cool LRS</t>
        </is>
      </c>
      <c r="B13" s="19" t="inlineStr">
        <is>
          <t>Cool</t>
        </is>
      </c>
      <c r="C13" s="19" t="inlineStr">
        <is>
          <t>LRS</t>
        </is>
      </c>
      <c r="D13" s="20" t="n">
        <v>0.0152</v>
      </c>
      <c r="E13" s="21" t="n">
        <v>0.1</v>
      </c>
      <c r="F13" s="21" t="n">
        <v>0.01</v>
      </c>
      <c r="G13" s="21" t="n">
        <v>0.01</v>
      </c>
      <c r="H13" s="23" t="inlineStr">
        <is>
          <t>flat</t>
        </is>
      </c>
      <c r="I13" s="19" t="n"/>
    </row>
    <row r="14">
      <c r="A14" s="19" t="inlineStr">
        <is>
          <t>Cool RA-GRS</t>
        </is>
      </c>
      <c r="B14" s="19" t="inlineStr">
        <is>
          <t>Cool</t>
        </is>
      </c>
      <c r="C14" s="19" t="inlineStr">
        <is>
          <t>RA-GRS</t>
        </is>
      </c>
      <c r="D14" s="20" t="n">
        <v>0.0425</v>
      </c>
      <c r="E14" s="21" t="n">
        <v>0.2</v>
      </c>
      <c r="F14" s="21" t="n">
        <v>0.01</v>
      </c>
      <c r="G14" s="21" t="n">
        <v>0.01</v>
      </c>
      <c r="H14" s="23" t="inlineStr">
        <is>
          <t>flat</t>
        </is>
      </c>
      <c r="I14" s="19" t="n"/>
    </row>
    <row r="15">
      <c r="A15" s="19" t="inlineStr">
        <is>
          <t>Cool RA-GZRS</t>
        </is>
      </c>
      <c r="B15" s="19" t="inlineStr">
        <is>
          <t>Cool</t>
        </is>
      </c>
      <c r="C15" s="19" t="inlineStr">
        <is>
          <t>RA-GZRS</t>
        </is>
      </c>
      <c r="D15" s="20" t="n">
        <v>0.04275</v>
      </c>
      <c r="E15" s="21" t="n">
        <v>0.2</v>
      </c>
      <c r="F15" s="21" t="n">
        <v>0.01</v>
      </c>
      <c r="G15" s="21" t="n">
        <v>0.01</v>
      </c>
      <c r="H15" s="23" t="inlineStr">
        <is>
          <t>flat</t>
        </is>
      </c>
      <c r="I15" s="22" t="inlineStr">
        <is>
          <t>write_usd_per_10k from GZRS</t>
        </is>
      </c>
    </row>
    <row r="16">
      <c r="A16" s="19" t="inlineStr">
        <is>
          <t>Cool ZRS</t>
        </is>
      </c>
      <c r="B16" s="19" t="inlineStr">
        <is>
          <t>Cool</t>
        </is>
      </c>
      <c r="C16" s="19" t="inlineStr">
        <is>
          <t>ZRS</t>
        </is>
      </c>
      <c r="D16" s="20" t="n">
        <v>0.019</v>
      </c>
      <c r="E16" s="21" t="n">
        <v>0.1</v>
      </c>
      <c r="F16" s="21" t="n">
        <v>0.01</v>
      </c>
      <c r="G16" s="21" t="n">
        <v>0.01</v>
      </c>
      <c r="H16" s="23" t="inlineStr">
        <is>
          <t>flat</t>
        </is>
      </c>
      <c r="I16" s="19" t="n"/>
    </row>
    <row r="17">
      <c r="A17" s="19" t="inlineStr">
        <is>
          <t>Cold GRS</t>
        </is>
      </c>
      <c r="B17" s="19" t="inlineStr">
        <is>
          <t>Cold</t>
        </is>
      </c>
      <c r="C17" s="19" t="inlineStr">
        <is>
          <t>GRS</t>
        </is>
      </c>
      <c r="D17" s="20" t="n">
        <v>0.0081</v>
      </c>
      <c r="E17" s="21" t="n">
        <v>0.36</v>
      </c>
      <c r="F17" s="21" t="n">
        <v>0.1</v>
      </c>
      <c r="G17" s="21" t="n">
        <v>0.03</v>
      </c>
      <c r="H17" s="23" t="inlineStr">
        <is>
          <t>flat</t>
        </is>
      </c>
      <c r="I17" s="19" t="n"/>
    </row>
    <row r="18">
      <c r="A18" s="19" t="inlineStr">
        <is>
          <t>Cold GZRS</t>
        </is>
      </c>
      <c r="B18" s="19" t="inlineStr">
        <is>
          <t>Cold</t>
        </is>
      </c>
      <c r="C18" s="19" t="inlineStr">
        <is>
          <t>GZRS</t>
        </is>
      </c>
      <c r="D18" s="20" t="n">
        <v>0.008500000000000001</v>
      </c>
      <c r="E18" s="21" t="n">
        <v>0.38</v>
      </c>
      <c r="F18" s="21" t="n">
        <v>0.1</v>
      </c>
      <c r="G18" s="21" t="n">
        <v>0.03</v>
      </c>
      <c r="H18" s="23" t="inlineStr">
        <is>
          <t>flat</t>
        </is>
      </c>
      <c r="I18" s="19" t="n"/>
    </row>
    <row r="19">
      <c r="A19" s="19" t="inlineStr">
        <is>
          <t>Cold LRS</t>
        </is>
      </c>
      <c r="B19" s="19" t="inlineStr">
        <is>
          <t>Cold</t>
        </is>
      </c>
      <c r="C19" s="19" t="inlineStr">
        <is>
          <t>LRS</t>
        </is>
      </c>
      <c r="D19" s="20" t="n">
        <v>0.0036</v>
      </c>
      <c r="E19" s="21" t="n">
        <v>0.18</v>
      </c>
      <c r="F19" s="21" t="n">
        <v>0.1</v>
      </c>
      <c r="G19" s="21" t="n">
        <v>0.03</v>
      </c>
      <c r="H19" s="23" t="inlineStr">
        <is>
          <t>flat</t>
        </is>
      </c>
      <c r="I19" s="19" t="n"/>
    </row>
    <row r="20">
      <c r="A20" s="19" t="inlineStr">
        <is>
          <t>Cold RA-GRS</t>
        </is>
      </c>
      <c r="B20" s="19" t="inlineStr">
        <is>
          <t>Cold</t>
        </is>
      </c>
      <c r="C20" s="19" t="inlineStr">
        <is>
          <t>RA-GRS</t>
        </is>
      </c>
      <c r="D20" s="20" t="n">
        <v>0.0101</v>
      </c>
      <c r="E20" s="21" t="n">
        <v>0.36</v>
      </c>
      <c r="F20" s="21" t="n">
        <v>0.1</v>
      </c>
      <c r="G20" s="21" t="n">
        <v>0.03</v>
      </c>
      <c r="H20" s="23" t="inlineStr">
        <is>
          <t>flat</t>
        </is>
      </c>
      <c r="I20" s="19" t="n"/>
    </row>
    <row r="21">
      <c r="A21" s="19" t="inlineStr">
        <is>
          <t>Cold RA-GZRS</t>
        </is>
      </c>
      <c r="B21" s="19" t="inlineStr">
        <is>
          <t>Cold</t>
        </is>
      </c>
      <c r="C21" s="19" t="inlineStr">
        <is>
          <t>RA-GZRS</t>
        </is>
      </c>
      <c r="D21" s="20" t="n">
        <v>0.0106</v>
      </c>
      <c r="E21" s="21" t="n">
        <v>0.38</v>
      </c>
      <c r="F21" s="21" t="n">
        <v>0.1</v>
      </c>
      <c r="G21" s="21" t="n">
        <v>0.03</v>
      </c>
      <c r="H21" s="23" t="inlineStr">
        <is>
          <t>flat</t>
        </is>
      </c>
      <c r="I21" s="19" t="n"/>
    </row>
    <row r="22">
      <c r="A22" s="19" t="inlineStr">
        <is>
          <t>Cold ZRS</t>
        </is>
      </c>
      <c r="B22" s="19" t="inlineStr">
        <is>
          <t>Cold</t>
        </is>
      </c>
      <c r="C22" s="19" t="inlineStr">
        <is>
          <t>ZRS</t>
        </is>
      </c>
      <c r="D22" s="20" t="n">
        <v>0.004</v>
      </c>
      <c r="E22" s="21" t="n">
        <v>0.2</v>
      </c>
      <c r="F22" s="21" t="n">
        <v>0.1</v>
      </c>
      <c r="G22" s="21" t="n">
        <v>0.03</v>
      </c>
      <c r="H22" s="23" t="inlineStr">
        <is>
          <t>flat</t>
        </is>
      </c>
      <c r="I22" s="19" t="n"/>
    </row>
    <row r="23">
      <c r="A23" s="24" t="inlineStr">
        <is>
          <t>Archive GRS</t>
        </is>
      </c>
      <c r="B23" s="24" t="inlineStr">
        <is>
          <t>Archive</t>
        </is>
      </c>
      <c r="C23" s="24" t="inlineStr">
        <is>
          <t>GRS</t>
        </is>
      </c>
      <c r="D23" s="25" t="n">
        <v>0.00299</v>
      </c>
      <c r="E23" s="26" t="n">
        <v>0.21</v>
      </c>
      <c r="F23" s="26" t="n">
        <v>5</v>
      </c>
      <c r="G23" s="26" t="n">
        <v>0.02</v>
      </c>
      <c r="H23" s="23" t="inlineStr">
        <is>
          <t>flat</t>
        </is>
      </c>
      <c r="I23" s="19" t="n"/>
    </row>
    <row r="24">
      <c r="A24" s="24" t="inlineStr">
        <is>
          <t>Archive LRS</t>
        </is>
      </c>
      <c r="B24" s="24" t="inlineStr">
        <is>
          <t>Archive</t>
        </is>
      </c>
      <c r="C24" s="24" t="inlineStr">
        <is>
          <t>LRS</t>
        </is>
      </c>
      <c r="D24" s="25" t="n">
        <v>0.00099</v>
      </c>
      <c r="E24" s="26" t="n">
        <v>0.1</v>
      </c>
      <c r="F24" s="26" t="n">
        <v>5</v>
      </c>
      <c r="G24" s="26" t="n">
        <v>0.02</v>
      </c>
      <c r="H24" s="23" t="inlineStr">
        <is>
          <t>flat</t>
        </is>
      </c>
      <c r="I24" s="19" t="n"/>
    </row>
    <row r="25">
      <c r="A25" s="24" t="inlineStr">
        <is>
          <t>Archive RA-GRS</t>
        </is>
      </c>
      <c r="B25" s="24" t="inlineStr">
        <is>
          <t>Archive</t>
        </is>
      </c>
      <c r="C25" s="24" t="inlineStr">
        <is>
          <t>RA-GRS</t>
        </is>
      </c>
      <c r="D25" s="25" t="n">
        <v>0.00299</v>
      </c>
      <c r="E25" s="26" t="n">
        <v>0.21</v>
      </c>
      <c r="F25" s="26" t="n">
        <v>5</v>
      </c>
      <c r="G25" s="26" t="n">
        <v>0.02</v>
      </c>
      <c r="H25" s="23" t="inlineStr">
        <is>
          <t>flat</t>
        </is>
      </c>
      <c r="I25" s="19" t="n"/>
    </row>
    <row r="27">
      <c r="A27" s="4" t="inlineStr">
        <is>
          <t>Bandwidth (egress out of the source region)</t>
        </is>
      </c>
    </row>
    <row r="28">
      <c r="A28" s="18" t="inlineStr">
        <is>
          <t>Destination</t>
        </is>
      </c>
      <c r="B28" s="18" t="inlineStr">
        <is>
          <t>$/GB</t>
        </is>
      </c>
    </row>
    <row r="29">
      <c r="A29" s="19" t="inlineStr">
        <is>
          <t>Same region (any subscription)</t>
        </is>
      </c>
      <c r="B29" s="21" t="n">
        <v>0</v>
      </c>
    </row>
    <row r="30">
      <c r="A30" s="19" t="inlineStr">
        <is>
          <t>Cross region</t>
        </is>
      </c>
      <c r="B30" s="21" t="n">
        <v>0.02</v>
      </c>
    </row>
    <row r="31">
      <c r="A31" s="19" t="inlineStr">
        <is>
          <t>Out to the internet</t>
        </is>
      </c>
      <c r="B31" s="21" t="n">
        <v>0.08699999999999999</v>
      </c>
    </row>
    <row r="33">
      <c r="A33" s="6" t="inlineStr">
        <is>
          <t>Ingress into Azure Storage is always free. A subscription boundary costs nothing; only a region boundary does.</t>
        </is>
      </c>
    </row>
    <row r="34">
      <c r="A34" s="6" t="inlineStr">
        <is>
          <t>Volume banding: the rest of this workbook prices everything at the first band. Only the Hot tier is banded, and the discount above 50 TB is roughly 4 percent, so for Hot scenarios above 50 TB the workbook is slightly conservative. Cool, Cold and Archive are flat at any volume.</t>
        </is>
      </c>
    </row>
    <row r="35">
      <c r="A35" s="4" t="inlineStr">
        <is>
          <t>Private endpoint and private DNS</t>
        </is>
      </c>
    </row>
    <row r="36">
      <c r="A36" s="18" t="inlineStr">
        <is>
          <t>Item</t>
        </is>
      </c>
      <c r="B36" s="18" t="inlineStr">
        <is>
          <t>Rate</t>
        </is>
      </c>
    </row>
    <row r="37">
      <c r="A37" s="19" t="inlineStr">
        <is>
          <t>Private endpoint ($/hour)</t>
        </is>
      </c>
      <c r="B37" s="21" t="n">
        <v>0.01</v>
      </c>
    </row>
    <row r="38">
      <c r="A38" s="19" t="inlineStr">
        <is>
          <t>Data processed, ingress ($/GB)</t>
        </is>
      </c>
      <c r="B38" s="21" t="n">
        <v>0.01</v>
      </c>
    </row>
    <row r="39">
      <c r="A39" s="19" t="inlineStr">
        <is>
          <t>Data processed, egress ($/GB)</t>
        </is>
      </c>
      <c r="B39" s="21" t="n">
        <v>0.01</v>
      </c>
    </row>
    <row r="40">
      <c r="A40" s="19" t="inlineStr">
        <is>
          <t>Private DNS zone ($/month, first 25)</t>
        </is>
      </c>
      <c r="B40" s="21" t="n">
        <v>0.5</v>
      </c>
    </row>
    <row r="41">
      <c r="A41" s="19" t="inlineStr">
        <is>
          <t>Private DNS queries ($/million)</t>
        </is>
      </c>
      <c r="B41" s="21" t="n">
        <v>0.4</v>
      </c>
    </row>
    <row r="43">
      <c r="A43" s="6" t="inlineStr">
        <is>
          <t>Private endpoint meters are published against region 'Global', not against an Azure region, so they are identical everywhere in the commercial cloud. Data processed is volume-banded (over 1,000,000 GB: $0.006; over 5,000,000 GB: $0.004); this workbook prices the first band, which holds for anything under 1 PB.</t>
        </is>
      </c>
    </row>
    <row r="44">
      <c r="A44" s="6" t="inlineStr">
        <is>
          <t>Azure DNS prices private zones by geography zone rather than by region. These are the 'Zone 1' rates, which cover the commercial regions this model targets.</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4" customHeight="1">
      <c r="A1" s="1" t="inlineStr">
        <is>
          <t>Cost by number of backups and database size</t>
        </is>
      </c>
    </row>
    <row r="2">
      <c r="A2" s="6" t="inlineStr">
        <is>
          <t>Uses the compression ratio, retention, tier and destination from 'Parameters'. Rows are backup counts; columns are average database size in GB.</t>
        </is>
      </c>
    </row>
    <row r="4">
      <c r="A4" s="27" t="inlineStr">
        <is>
          <t>1. TRANSFER COST (one time)  -  bandwidth plus write operations</t>
        </is>
      </c>
    </row>
    <row r="5">
      <c r="A5" s="18" t="inlineStr">
        <is>
          <t>Backups \ Size (GB)</t>
        </is>
      </c>
      <c r="B5" s="18" t="inlineStr">
        <is>
          <t>5</t>
        </is>
      </c>
      <c r="C5" s="18" t="inlineStr">
        <is>
          <t>10</t>
        </is>
      </c>
      <c r="D5" s="18" t="inlineStr">
        <is>
          <t>25</t>
        </is>
      </c>
      <c r="E5" s="18" t="inlineStr">
        <is>
          <t>50</t>
        </is>
      </c>
      <c r="F5" s="18" t="inlineStr">
        <is>
          <t>100</t>
        </is>
      </c>
      <c r="G5" s="18" t="inlineStr">
        <is>
          <t>250</t>
        </is>
      </c>
      <c r="H5" s="18" t="inlineStr">
        <is>
          <t>500</t>
        </is>
      </c>
      <c r="I5" s="18" t="inlineStr">
        <is>
          <t>1000</t>
        </is>
      </c>
    </row>
    <row r="6">
      <c r="A6" s="28" t="n">
        <v>10</v>
      </c>
      <c r="B6" s="29">
        <f>(10*5/Parameters!$B$6)*Parameters!$B$16+ROUNDUP((10*5/Parameters!$B$6)*1024/Parameters!$B$11,0)/10000*Parameters!$B$15</f>
        <v/>
      </c>
      <c r="C6" s="29">
        <f>(10*10/Parameters!$B$6)*Parameters!$B$16+ROUNDUP((10*10/Parameters!$B$6)*1024/Parameters!$B$11,0)/10000*Parameters!$B$15</f>
        <v/>
      </c>
      <c r="D6" s="29">
        <f>(10*25/Parameters!$B$6)*Parameters!$B$16+ROUNDUP((10*25/Parameters!$B$6)*1024/Parameters!$B$11,0)/10000*Parameters!$B$15</f>
        <v/>
      </c>
      <c r="E6" s="29">
        <f>(10*50/Parameters!$B$6)*Parameters!$B$16+ROUNDUP((10*50/Parameters!$B$6)*1024/Parameters!$B$11,0)/10000*Parameters!$B$15</f>
        <v/>
      </c>
      <c r="F6" s="29">
        <f>(10*100/Parameters!$B$6)*Parameters!$B$16+ROUNDUP((10*100/Parameters!$B$6)*1024/Parameters!$B$11,0)/10000*Parameters!$B$15</f>
        <v/>
      </c>
      <c r="G6" s="29">
        <f>(10*250/Parameters!$B$6)*Parameters!$B$16+ROUNDUP((10*250/Parameters!$B$6)*1024/Parameters!$B$11,0)/10000*Parameters!$B$15</f>
        <v/>
      </c>
      <c r="H6" s="29">
        <f>(10*500/Parameters!$B$6)*Parameters!$B$16+ROUNDUP((10*500/Parameters!$B$6)*1024/Parameters!$B$11,0)/10000*Parameters!$B$15</f>
        <v/>
      </c>
      <c r="I6" s="29">
        <f>(10*1000/Parameters!$B$6)*Parameters!$B$16+ROUNDUP((10*1000/Parameters!$B$6)*1024/Parameters!$B$11,0)/10000*Parameters!$B$15</f>
        <v/>
      </c>
    </row>
    <row r="7">
      <c r="A7" s="28" t="n">
        <v>25</v>
      </c>
      <c r="B7" s="29">
        <f>(25*5/Parameters!$B$6)*Parameters!$B$16+ROUNDUP((25*5/Parameters!$B$6)*1024/Parameters!$B$11,0)/10000*Parameters!$B$15</f>
        <v/>
      </c>
      <c r="C7" s="29">
        <f>(25*10/Parameters!$B$6)*Parameters!$B$16+ROUNDUP((25*10/Parameters!$B$6)*1024/Parameters!$B$11,0)/10000*Parameters!$B$15</f>
        <v/>
      </c>
      <c r="D7" s="29">
        <f>(25*25/Parameters!$B$6)*Parameters!$B$16+ROUNDUP((25*25/Parameters!$B$6)*1024/Parameters!$B$11,0)/10000*Parameters!$B$15</f>
        <v/>
      </c>
      <c r="E7" s="29">
        <f>(25*50/Parameters!$B$6)*Parameters!$B$16+ROUNDUP((25*50/Parameters!$B$6)*1024/Parameters!$B$11,0)/10000*Parameters!$B$15</f>
        <v/>
      </c>
      <c r="F7" s="29">
        <f>(25*100/Parameters!$B$6)*Parameters!$B$16+ROUNDUP((25*100/Parameters!$B$6)*1024/Parameters!$B$11,0)/10000*Parameters!$B$15</f>
        <v/>
      </c>
      <c r="G7" s="29">
        <f>(25*250/Parameters!$B$6)*Parameters!$B$16+ROUNDUP((25*250/Parameters!$B$6)*1024/Parameters!$B$11,0)/10000*Parameters!$B$15</f>
        <v/>
      </c>
      <c r="H7" s="29">
        <f>(25*500/Parameters!$B$6)*Parameters!$B$16+ROUNDUP((25*500/Parameters!$B$6)*1024/Parameters!$B$11,0)/10000*Parameters!$B$15</f>
        <v/>
      </c>
      <c r="I7" s="29">
        <f>(25*1000/Parameters!$B$6)*Parameters!$B$16+ROUNDUP((25*1000/Parameters!$B$6)*1024/Parameters!$B$11,0)/10000*Parameters!$B$15</f>
        <v/>
      </c>
    </row>
    <row r="8">
      <c r="A8" s="28" t="n">
        <v>50</v>
      </c>
      <c r="B8" s="29">
        <f>(50*5/Parameters!$B$6)*Parameters!$B$16+ROUNDUP((50*5/Parameters!$B$6)*1024/Parameters!$B$11,0)/10000*Parameters!$B$15</f>
        <v/>
      </c>
      <c r="C8" s="29">
        <f>(50*10/Parameters!$B$6)*Parameters!$B$16+ROUNDUP((50*10/Parameters!$B$6)*1024/Parameters!$B$11,0)/10000*Parameters!$B$15</f>
        <v/>
      </c>
      <c r="D8" s="29">
        <f>(50*25/Parameters!$B$6)*Parameters!$B$16+ROUNDUP((50*25/Parameters!$B$6)*1024/Parameters!$B$11,0)/10000*Parameters!$B$15</f>
        <v/>
      </c>
      <c r="E8" s="29">
        <f>(50*50/Parameters!$B$6)*Parameters!$B$16+ROUNDUP((50*50/Parameters!$B$6)*1024/Parameters!$B$11,0)/10000*Parameters!$B$15</f>
        <v/>
      </c>
      <c r="F8" s="29">
        <f>(50*100/Parameters!$B$6)*Parameters!$B$16+ROUNDUP((50*100/Parameters!$B$6)*1024/Parameters!$B$11,0)/10000*Parameters!$B$15</f>
        <v/>
      </c>
      <c r="G8" s="29">
        <f>(50*250/Parameters!$B$6)*Parameters!$B$16+ROUNDUP((50*250/Parameters!$B$6)*1024/Parameters!$B$11,0)/10000*Parameters!$B$15</f>
        <v/>
      </c>
      <c r="H8" s="29">
        <f>(50*500/Parameters!$B$6)*Parameters!$B$16+ROUNDUP((50*500/Parameters!$B$6)*1024/Parameters!$B$11,0)/10000*Parameters!$B$15</f>
        <v/>
      </c>
      <c r="I8" s="29">
        <f>(50*1000/Parameters!$B$6)*Parameters!$B$16+ROUNDUP((50*1000/Parameters!$B$6)*1024/Parameters!$B$11,0)/10000*Parameters!$B$15</f>
        <v/>
      </c>
    </row>
    <row r="9">
      <c r="A9" s="28" t="n">
        <v>100</v>
      </c>
      <c r="B9" s="29">
        <f>(100*5/Parameters!$B$6)*Parameters!$B$16+ROUNDUP((100*5/Parameters!$B$6)*1024/Parameters!$B$11,0)/10000*Parameters!$B$15</f>
        <v/>
      </c>
      <c r="C9" s="29">
        <f>(100*10/Parameters!$B$6)*Parameters!$B$16+ROUNDUP((100*10/Parameters!$B$6)*1024/Parameters!$B$11,0)/10000*Parameters!$B$15</f>
        <v/>
      </c>
      <c r="D9" s="29">
        <f>(100*25/Parameters!$B$6)*Parameters!$B$16+ROUNDUP((100*25/Parameters!$B$6)*1024/Parameters!$B$11,0)/10000*Parameters!$B$15</f>
        <v/>
      </c>
      <c r="E9" s="29">
        <f>(100*50/Parameters!$B$6)*Parameters!$B$16+ROUNDUP((100*50/Parameters!$B$6)*1024/Parameters!$B$11,0)/10000*Parameters!$B$15</f>
        <v/>
      </c>
      <c r="F9" s="29">
        <f>(100*100/Parameters!$B$6)*Parameters!$B$16+ROUNDUP((100*100/Parameters!$B$6)*1024/Parameters!$B$11,0)/10000*Parameters!$B$15</f>
        <v/>
      </c>
      <c r="G9" s="29">
        <f>(100*250/Parameters!$B$6)*Parameters!$B$16+ROUNDUP((100*250/Parameters!$B$6)*1024/Parameters!$B$11,0)/10000*Parameters!$B$15</f>
        <v/>
      </c>
      <c r="H9" s="29">
        <f>(100*500/Parameters!$B$6)*Parameters!$B$16+ROUNDUP((100*500/Parameters!$B$6)*1024/Parameters!$B$11,0)/10000*Parameters!$B$15</f>
        <v/>
      </c>
      <c r="I9" s="29">
        <f>(100*1000/Parameters!$B$6)*Parameters!$B$16+ROUNDUP((100*1000/Parameters!$B$6)*1024/Parameters!$B$11,0)/10000*Parameters!$B$15</f>
        <v/>
      </c>
    </row>
    <row r="10">
      <c r="A10" s="28" t="n">
        <v>200</v>
      </c>
      <c r="B10" s="29">
        <f>(200*5/Parameters!$B$6)*Parameters!$B$16+ROUNDUP((200*5/Parameters!$B$6)*1024/Parameters!$B$11,0)/10000*Parameters!$B$15</f>
        <v/>
      </c>
      <c r="C10" s="29">
        <f>(200*10/Parameters!$B$6)*Parameters!$B$16+ROUNDUP((200*10/Parameters!$B$6)*1024/Parameters!$B$11,0)/10000*Parameters!$B$15</f>
        <v/>
      </c>
      <c r="D10" s="29">
        <f>(200*25/Parameters!$B$6)*Parameters!$B$16+ROUNDUP((200*25/Parameters!$B$6)*1024/Parameters!$B$11,0)/10000*Parameters!$B$15</f>
        <v/>
      </c>
      <c r="E10" s="29">
        <f>(200*50/Parameters!$B$6)*Parameters!$B$16+ROUNDUP((200*50/Parameters!$B$6)*1024/Parameters!$B$11,0)/10000*Parameters!$B$15</f>
        <v/>
      </c>
      <c r="F10" s="29">
        <f>(200*100/Parameters!$B$6)*Parameters!$B$16+ROUNDUP((200*100/Parameters!$B$6)*1024/Parameters!$B$11,0)/10000*Parameters!$B$15</f>
        <v/>
      </c>
      <c r="G10" s="29">
        <f>(200*250/Parameters!$B$6)*Parameters!$B$16+ROUNDUP((200*250/Parameters!$B$6)*1024/Parameters!$B$11,0)/10000*Parameters!$B$15</f>
        <v/>
      </c>
      <c r="H10" s="29">
        <f>(200*500/Parameters!$B$6)*Parameters!$B$16+ROUNDUP((200*500/Parameters!$B$6)*1024/Parameters!$B$11,0)/10000*Parameters!$B$15</f>
        <v/>
      </c>
      <c r="I10" s="29">
        <f>(200*1000/Parameters!$B$6)*Parameters!$B$16+ROUNDUP((200*1000/Parameters!$B$6)*1024/Parameters!$B$11,0)/10000*Parameters!$B$15</f>
        <v/>
      </c>
    </row>
    <row r="11">
      <c r="A11" s="28" t="n">
        <v>400</v>
      </c>
      <c r="B11" s="29">
        <f>(400*5/Parameters!$B$6)*Parameters!$B$16+ROUNDUP((400*5/Parameters!$B$6)*1024/Parameters!$B$11,0)/10000*Parameters!$B$15</f>
        <v/>
      </c>
      <c r="C11" s="29">
        <f>(400*10/Parameters!$B$6)*Parameters!$B$16+ROUNDUP((400*10/Parameters!$B$6)*1024/Parameters!$B$11,0)/10000*Parameters!$B$15</f>
        <v/>
      </c>
      <c r="D11" s="29">
        <f>(400*25/Parameters!$B$6)*Parameters!$B$16+ROUNDUP((400*25/Parameters!$B$6)*1024/Parameters!$B$11,0)/10000*Parameters!$B$15</f>
        <v/>
      </c>
      <c r="E11" s="29">
        <f>(400*50/Parameters!$B$6)*Parameters!$B$16+ROUNDUP((400*50/Parameters!$B$6)*1024/Parameters!$B$11,0)/10000*Parameters!$B$15</f>
        <v/>
      </c>
      <c r="F11" s="29">
        <f>(400*100/Parameters!$B$6)*Parameters!$B$16+ROUNDUP((400*100/Parameters!$B$6)*1024/Parameters!$B$11,0)/10000*Parameters!$B$15</f>
        <v/>
      </c>
      <c r="G11" s="29">
        <f>(400*250/Parameters!$B$6)*Parameters!$B$16+ROUNDUP((400*250/Parameters!$B$6)*1024/Parameters!$B$11,0)/10000*Parameters!$B$15</f>
        <v/>
      </c>
      <c r="H11" s="29">
        <f>(400*500/Parameters!$B$6)*Parameters!$B$16+ROUNDUP((400*500/Parameters!$B$6)*1024/Parameters!$B$11,0)/10000*Parameters!$B$15</f>
        <v/>
      </c>
      <c r="I11" s="29">
        <f>(400*1000/Parameters!$B$6)*Parameters!$B$16+ROUNDUP((400*1000/Parameters!$B$6)*1024/Parameters!$B$11,0)/10000*Parameters!$B$15</f>
        <v/>
      </c>
    </row>
    <row r="12">
      <c r="A12" s="28" t="n">
        <v>800</v>
      </c>
      <c r="B12" s="29">
        <f>(800*5/Parameters!$B$6)*Parameters!$B$16+ROUNDUP((800*5/Parameters!$B$6)*1024/Parameters!$B$11,0)/10000*Parameters!$B$15</f>
        <v/>
      </c>
      <c r="C12" s="29">
        <f>(800*10/Parameters!$B$6)*Parameters!$B$16+ROUNDUP((800*10/Parameters!$B$6)*1024/Parameters!$B$11,0)/10000*Parameters!$B$15</f>
        <v/>
      </c>
      <c r="D12" s="29">
        <f>(800*25/Parameters!$B$6)*Parameters!$B$16+ROUNDUP((800*25/Parameters!$B$6)*1024/Parameters!$B$11,0)/10000*Parameters!$B$15</f>
        <v/>
      </c>
      <c r="E12" s="29">
        <f>(800*50/Parameters!$B$6)*Parameters!$B$16+ROUNDUP((800*50/Parameters!$B$6)*1024/Parameters!$B$11,0)/10000*Parameters!$B$15</f>
        <v/>
      </c>
      <c r="F12" s="29">
        <f>(800*100/Parameters!$B$6)*Parameters!$B$16+ROUNDUP((800*100/Parameters!$B$6)*1024/Parameters!$B$11,0)/10000*Parameters!$B$15</f>
        <v/>
      </c>
      <c r="G12" s="29">
        <f>(800*250/Parameters!$B$6)*Parameters!$B$16+ROUNDUP((800*250/Parameters!$B$6)*1024/Parameters!$B$11,0)/10000*Parameters!$B$15</f>
        <v/>
      </c>
      <c r="H12" s="29">
        <f>(800*500/Parameters!$B$6)*Parameters!$B$16+ROUNDUP((800*500/Parameters!$B$6)*1024/Parameters!$B$11,0)/10000*Parameters!$B$15</f>
        <v/>
      </c>
      <c r="I12" s="29">
        <f>(800*1000/Parameters!$B$6)*Parameters!$B$16+ROUNDUP((800*1000/Parameters!$B$6)*1024/Parameters!$B$11,0)/10000*Parameters!$B$15</f>
        <v/>
      </c>
    </row>
    <row r="15">
      <c r="A15" s="27" t="inlineStr">
        <is>
          <t>2. STORAGE COST over the full retention period</t>
        </is>
      </c>
    </row>
    <row r="16">
      <c r="A16" s="18" t="inlineStr">
        <is>
          <t>Backups \ Size (GB)</t>
        </is>
      </c>
      <c r="B16" s="18" t="inlineStr">
        <is>
          <t>5</t>
        </is>
      </c>
      <c r="C16" s="18" t="inlineStr">
        <is>
          <t>10</t>
        </is>
      </c>
      <c r="D16" s="18" t="inlineStr">
        <is>
          <t>25</t>
        </is>
      </c>
      <c r="E16" s="18" t="inlineStr">
        <is>
          <t>50</t>
        </is>
      </c>
      <c r="F16" s="18" t="inlineStr">
        <is>
          <t>100</t>
        </is>
      </c>
      <c r="G16" s="18" t="inlineStr">
        <is>
          <t>250</t>
        </is>
      </c>
      <c r="H16" s="18" t="inlineStr">
        <is>
          <t>500</t>
        </is>
      </c>
      <c r="I16" s="18" t="inlineStr">
        <is>
          <t>1000</t>
        </is>
      </c>
    </row>
    <row r="17">
      <c r="A17" s="28" t="n">
        <v>10</v>
      </c>
      <c r="B17" s="29">
        <f>(10*5/Parameters!$B$6)*Parameters!$B$14*Parameters!$B$7</f>
        <v/>
      </c>
      <c r="C17" s="29">
        <f>(10*10/Parameters!$B$6)*Parameters!$B$14*Parameters!$B$7</f>
        <v/>
      </c>
      <c r="D17" s="29">
        <f>(10*25/Parameters!$B$6)*Parameters!$B$14*Parameters!$B$7</f>
        <v/>
      </c>
      <c r="E17" s="29">
        <f>(10*50/Parameters!$B$6)*Parameters!$B$14*Parameters!$B$7</f>
        <v/>
      </c>
      <c r="F17" s="29">
        <f>(10*100/Parameters!$B$6)*Parameters!$B$14*Parameters!$B$7</f>
        <v/>
      </c>
      <c r="G17" s="29">
        <f>(10*250/Parameters!$B$6)*Parameters!$B$14*Parameters!$B$7</f>
        <v/>
      </c>
      <c r="H17" s="29">
        <f>(10*500/Parameters!$B$6)*Parameters!$B$14*Parameters!$B$7</f>
        <v/>
      </c>
      <c r="I17" s="29">
        <f>(10*1000/Parameters!$B$6)*Parameters!$B$14*Parameters!$B$7</f>
        <v/>
      </c>
    </row>
    <row r="18">
      <c r="A18" s="28" t="n">
        <v>25</v>
      </c>
      <c r="B18" s="29">
        <f>(25*5/Parameters!$B$6)*Parameters!$B$14*Parameters!$B$7</f>
        <v/>
      </c>
      <c r="C18" s="29">
        <f>(25*10/Parameters!$B$6)*Parameters!$B$14*Parameters!$B$7</f>
        <v/>
      </c>
      <c r="D18" s="29">
        <f>(25*25/Parameters!$B$6)*Parameters!$B$14*Parameters!$B$7</f>
        <v/>
      </c>
      <c r="E18" s="29">
        <f>(25*50/Parameters!$B$6)*Parameters!$B$14*Parameters!$B$7</f>
        <v/>
      </c>
      <c r="F18" s="29">
        <f>(25*100/Parameters!$B$6)*Parameters!$B$14*Parameters!$B$7</f>
        <v/>
      </c>
      <c r="G18" s="29">
        <f>(25*250/Parameters!$B$6)*Parameters!$B$14*Parameters!$B$7</f>
        <v/>
      </c>
      <c r="H18" s="29">
        <f>(25*500/Parameters!$B$6)*Parameters!$B$14*Parameters!$B$7</f>
        <v/>
      </c>
      <c r="I18" s="29">
        <f>(25*1000/Parameters!$B$6)*Parameters!$B$14*Parameters!$B$7</f>
        <v/>
      </c>
    </row>
    <row r="19">
      <c r="A19" s="28" t="n">
        <v>50</v>
      </c>
      <c r="B19" s="29">
        <f>(50*5/Parameters!$B$6)*Parameters!$B$14*Parameters!$B$7</f>
        <v/>
      </c>
      <c r="C19" s="29">
        <f>(50*10/Parameters!$B$6)*Parameters!$B$14*Parameters!$B$7</f>
        <v/>
      </c>
      <c r="D19" s="29">
        <f>(50*25/Parameters!$B$6)*Parameters!$B$14*Parameters!$B$7</f>
        <v/>
      </c>
      <c r="E19" s="29">
        <f>(50*50/Parameters!$B$6)*Parameters!$B$14*Parameters!$B$7</f>
        <v/>
      </c>
      <c r="F19" s="29">
        <f>(50*100/Parameters!$B$6)*Parameters!$B$14*Parameters!$B$7</f>
        <v/>
      </c>
      <c r="G19" s="29">
        <f>(50*250/Parameters!$B$6)*Parameters!$B$14*Parameters!$B$7</f>
        <v/>
      </c>
      <c r="H19" s="29">
        <f>(50*500/Parameters!$B$6)*Parameters!$B$14*Parameters!$B$7</f>
        <v/>
      </c>
      <c r="I19" s="29">
        <f>(50*1000/Parameters!$B$6)*Parameters!$B$14*Parameters!$B$7</f>
        <v/>
      </c>
    </row>
    <row r="20">
      <c r="A20" s="28" t="n">
        <v>100</v>
      </c>
      <c r="B20" s="29">
        <f>(100*5/Parameters!$B$6)*Parameters!$B$14*Parameters!$B$7</f>
        <v/>
      </c>
      <c r="C20" s="29">
        <f>(100*10/Parameters!$B$6)*Parameters!$B$14*Parameters!$B$7</f>
        <v/>
      </c>
      <c r="D20" s="29">
        <f>(100*25/Parameters!$B$6)*Parameters!$B$14*Parameters!$B$7</f>
        <v/>
      </c>
      <c r="E20" s="29">
        <f>(100*50/Parameters!$B$6)*Parameters!$B$14*Parameters!$B$7</f>
        <v/>
      </c>
      <c r="F20" s="29">
        <f>(100*100/Parameters!$B$6)*Parameters!$B$14*Parameters!$B$7</f>
        <v/>
      </c>
      <c r="G20" s="29">
        <f>(100*250/Parameters!$B$6)*Parameters!$B$14*Parameters!$B$7</f>
        <v/>
      </c>
      <c r="H20" s="29">
        <f>(100*500/Parameters!$B$6)*Parameters!$B$14*Parameters!$B$7</f>
        <v/>
      </c>
      <c r="I20" s="29">
        <f>(100*1000/Parameters!$B$6)*Parameters!$B$14*Parameters!$B$7</f>
        <v/>
      </c>
    </row>
    <row r="21">
      <c r="A21" s="28" t="n">
        <v>200</v>
      </c>
      <c r="B21" s="29">
        <f>(200*5/Parameters!$B$6)*Parameters!$B$14*Parameters!$B$7</f>
        <v/>
      </c>
      <c r="C21" s="29">
        <f>(200*10/Parameters!$B$6)*Parameters!$B$14*Parameters!$B$7</f>
        <v/>
      </c>
      <c r="D21" s="29">
        <f>(200*25/Parameters!$B$6)*Parameters!$B$14*Parameters!$B$7</f>
        <v/>
      </c>
      <c r="E21" s="29">
        <f>(200*50/Parameters!$B$6)*Parameters!$B$14*Parameters!$B$7</f>
        <v/>
      </c>
      <c r="F21" s="29">
        <f>(200*100/Parameters!$B$6)*Parameters!$B$14*Parameters!$B$7</f>
        <v/>
      </c>
      <c r="G21" s="29">
        <f>(200*250/Parameters!$B$6)*Parameters!$B$14*Parameters!$B$7</f>
        <v/>
      </c>
      <c r="H21" s="29">
        <f>(200*500/Parameters!$B$6)*Parameters!$B$14*Parameters!$B$7</f>
        <v/>
      </c>
      <c r="I21" s="29">
        <f>(200*1000/Parameters!$B$6)*Parameters!$B$14*Parameters!$B$7</f>
        <v/>
      </c>
    </row>
    <row r="22">
      <c r="A22" s="28" t="n">
        <v>400</v>
      </c>
      <c r="B22" s="29">
        <f>(400*5/Parameters!$B$6)*Parameters!$B$14*Parameters!$B$7</f>
        <v/>
      </c>
      <c r="C22" s="29">
        <f>(400*10/Parameters!$B$6)*Parameters!$B$14*Parameters!$B$7</f>
        <v/>
      </c>
      <c r="D22" s="29">
        <f>(400*25/Parameters!$B$6)*Parameters!$B$14*Parameters!$B$7</f>
        <v/>
      </c>
      <c r="E22" s="29">
        <f>(400*50/Parameters!$B$6)*Parameters!$B$14*Parameters!$B$7</f>
        <v/>
      </c>
      <c r="F22" s="29">
        <f>(400*100/Parameters!$B$6)*Parameters!$B$14*Parameters!$B$7</f>
        <v/>
      </c>
      <c r="G22" s="29">
        <f>(400*250/Parameters!$B$6)*Parameters!$B$14*Parameters!$B$7</f>
        <v/>
      </c>
      <c r="H22" s="29">
        <f>(400*500/Parameters!$B$6)*Parameters!$B$14*Parameters!$B$7</f>
        <v/>
      </c>
      <c r="I22" s="29">
        <f>(400*1000/Parameters!$B$6)*Parameters!$B$14*Parameters!$B$7</f>
        <v/>
      </c>
    </row>
    <row r="23">
      <c r="A23" s="28" t="n">
        <v>800</v>
      </c>
      <c r="B23" s="29">
        <f>(800*5/Parameters!$B$6)*Parameters!$B$14*Parameters!$B$7</f>
        <v/>
      </c>
      <c r="C23" s="29">
        <f>(800*10/Parameters!$B$6)*Parameters!$B$14*Parameters!$B$7</f>
        <v/>
      </c>
      <c r="D23" s="29">
        <f>(800*25/Parameters!$B$6)*Parameters!$B$14*Parameters!$B$7</f>
        <v/>
      </c>
      <c r="E23" s="29">
        <f>(800*50/Parameters!$B$6)*Parameters!$B$14*Parameters!$B$7</f>
        <v/>
      </c>
      <c r="F23" s="29">
        <f>(800*100/Parameters!$B$6)*Parameters!$B$14*Parameters!$B$7</f>
        <v/>
      </c>
      <c r="G23" s="29">
        <f>(800*250/Parameters!$B$6)*Parameters!$B$14*Parameters!$B$7</f>
        <v/>
      </c>
      <c r="H23" s="29">
        <f>(800*500/Parameters!$B$6)*Parameters!$B$14*Parameters!$B$7</f>
        <v/>
      </c>
      <c r="I23" s="29">
        <f>(800*1000/Parameters!$B$6)*Parameters!$B$14*Parameters!$B$7</f>
        <v/>
      </c>
    </row>
    <row r="26">
      <c r="A26" s="30" t="inlineStr">
        <is>
          <t>3. TOTAL  -  transfer plus storage</t>
        </is>
      </c>
    </row>
    <row r="27">
      <c r="A27" s="18" t="inlineStr">
        <is>
          <t>Backups \ Size (GB)</t>
        </is>
      </c>
      <c r="B27" s="18" t="inlineStr">
        <is>
          <t>5</t>
        </is>
      </c>
      <c r="C27" s="18" t="inlineStr">
        <is>
          <t>10</t>
        </is>
      </c>
      <c r="D27" s="18" t="inlineStr">
        <is>
          <t>25</t>
        </is>
      </c>
      <c r="E27" s="18" t="inlineStr">
        <is>
          <t>50</t>
        </is>
      </c>
      <c r="F27" s="18" t="inlineStr">
        <is>
          <t>100</t>
        </is>
      </c>
      <c r="G27" s="18" t="inlineStr">
        <is>
          <t>250</t>
        </is>
      </c>
      <c r="H27" s="18" t="inlineStr">
        <is>
          <t>500</t>
        </is>
      </c>
      <c r="I27" s="18" t="inlineStr">
        <is>
          <t>1000</t>
        </is>
      </c>
    </row>
    <row r="28">
      <c r="A28" s="28" t="n">
        <v>10</v>
      </c>
      <c r="B28" s="29">
        <f>(10*5/Parameters!$B$6)*Parameters!$B$16+ROUNDUP((10*5/Parameters!$B$6)*1024/Parameters!$B$11,0)/10000*Parameters!$B$15+(10*5/Parameters!$B$6)*Parameters!$B$14*Parameters!$B$7</f>
        <v/>
      </c>
      <c r="C28" s="29">
        <f>(10*10/Parameters!$B$6)*Parameters!$B$16+ROUNDUP((10*10/Parameters!$B$6)*1024/Parameters!$B$11,0)/10000*Parameters!$B$15+(10*10/Parameters!$B$6)*Parameters!$B$14*Parameters!$B$7</f>
        <v/>
      </c>
      <c r="D28" s="29">
        <f>(10*25/Parameters!$B$6)*Parameters!$B$16+ROUNDUP((10*25/Parameters!$B$6)*1024/Parameters!$B$11,0)/10000*Parameters!$B$15+(10*25/Parameters!$B$6)*Parameters!$B$14*Parameters!$B$7</f>
        <v/>
      </c>
      <c r="E28" s="29">
        <f>(10*50/Parameters!$B$6)*Parameters!$B$16+ROUNDUP((10*50/Parameters!$B$6)*1024/Parameters!$B$11,0)/10000*Parameters!$B$15+(10*50/Parameters!$B$6)*Parameters!$B$14*Parameters!$B$7</f>
        <v/>
      </c>
      <c r="F28" s="29">
        <f>(10*100/Parameters!$B$6)*Parameters!$B$16+ROUNDUP((10*100/Parameters!$B$6)*1024/Parameters!$B$11,0)/10000*Parameters!$B$15+(10*100/Parameters!$B$6)*Parameters!$B$14*Parameters!$B$7</f>
        <v/>
      </c>
      <c r="G28" s="29">
        <f>(10*250/Parameters!$B$6)*Parameters!$B$16+ROUNDUP((10*250/Parameters!$B$6)*1024/Parameters!$B$11,0)/10000*Parameters!$B$15+(10*250/Parameters!$B$6)*Parameters!$B$14*Parameters!$B$7</f>
        <v/>
      </c>
      <c r="H28" s="29">
        <f>(10*500/Parameters!$B$6)*Parameters!$B$16+ROUNDUP((10*500/Parameters!$B$6)*1024/Parameters!$B$11,0)/10000*Parameters!$B$15+(10*500/Parameters!$B$6)*Parameters!$B$14*Parameters!$B$7</f>
        <v/>
      </c>
      <c r="I28" s="29">
        <f>(10*1000/Parameters!$B$6)*Parameters!$B$16+ROUNDUP((10*1000/Parameters!$B$6)*1024/Parameters!$B$11,0)/10000*Parameters!$B$15+(10*1000/Parameters!$B$6)*Parameters!$B$14*Parameters!$B$7</f>
        <v/>
      </c>
    </row>
    <row r="29">
      <c r="A29" s="28" t="n">
        <v>25</v>
      </c>
      <c r="B29" s="29">
        <f>(25*5/Parameters!$B$6)*Parameters!$B$16+ROUNDUP((25*5/Parameters!$B$6)*1024/Parameters!$B$11,0)/10000*Parameters!$B$15+(25*5/Parameters!$B$6)*Parameters!$B$14*Parameters!$B$7</f>
        <v/>
      </c>
      <c r="C29" s="29">
        <f>(25*10/Parameters!$B$6)*Parameters!$B$16+ROUNDUP((25*10/Parameters!$B$6)*1024/Parameters!$B$11,0)/10000*Parameters!$B$15+(25*10/Parameters!$B$6)*Parameters!$B$14*Parameters!$B$7</f>
        <v/>
      </c>
      <c r="D29" s="29">
        <f>(25*25/Parameters!$B$6)*Parameters!$B$16+ROUNDUP((25*25/Parameters!$B$6)*1024/Parameters!$B$11,0)/10000*Parameters!$B$15+(25*25/Parameters!$B$6)*Parameters!$B$14*Parameters!$B$7</f>
        <v/>
      </c>
      <c r="E29" s="29">
        <f>(25*50/Parameters!$B$6)*Parameters!$B$16+ROUNDUP((25*50/Parameters!$B$6)*1024/Parameters!$B$11,0)/10000*Parameters!$B$15+(25*50/Parameters!$B$6)*Parameters!$B$14*Parameters!$B$7</f>
        <v/>
      </c>
      <c r="F29" s="29">
        <f>(25*100/Parameters!$B$6)*Parameters!$B$16+ROUNDUP((25*100/Parameters!$B$6)*1024/Parameters!$B$11,0)/10000*Parameters!$B$15+(25*100/Parameters!$B$6)*Parameters!$B$14*Parameters!$B$7</f>
        <v/>
      </c>
      <c r="G29" s="29">
        <f>(25*250/Parameters!$B$6)*Parameters!$B$16+ROUNDUP((25*250/Parameters!$B$6)*1024/Parameters!$B$11,0)/10000*Parameters!$B$15+(25*250/Parameters!$B$6)*Parameters!$B$14*Parameters!$B$7</f>
        <v/>
      </c>
      <c r="H29" s="29">
        <f>(25*500/Parameters!$B$6)*Parameters!$B$16+ROUNDUP((25*500/Parameters!$B$6)*1024/Parameters!$B$11,0)/10000*Parameters!$B$15+(25*500/Parameters!$B$6)*Parameters!$B$14*Parameters!$B$7</f>
        <v/>
      </c>
      <c r="I29" s="29">
        <f>(25*1000/Parameters!$B$6)*Parameters!$B$16+ROUNDUP((25*1000/Parameters!$B$6)*1024/Parameters!$B$11,0)/10000*Parameters!$B$15+(25*1000/Parameters!$B$6)*Parameters!$B$14*Parameters!$B$7</f>
        <v/>
      </c>
    </row>
    <row r="30">
      <c r="A30" s="28" t="n">
        <v>50</v>
      </c>
      <c r="B30" s="29">
        <f>(50*5/Parameters!$B$6)*Parameters!$B$16+ROUNDUP((50*5/Parameters!$B$6)*1024/Parameters!$B$11,0)/10000*Parameters!$B$15+(50*5/Parameters!$B$6)*Parameters!$B$14*Parameters!$B$7</f>
        <v/>
      </c>
      <c r="C30" s="29">
        <f>(50*10/Parameters!$B$6)*Parameters!$B$16+ROUNDUP((50*10/Parameters!$B$6)*1024/Parameters!$B$11,0)/10000*Parameters!$B$15+(50*10/Parameters!$B$6)*Parameters!$B$14*Parameters!$B$7</f>
        <v/>
      </c>
      <c r="D30" s="29">
        <f>(50*25/Parameters!$B$6)*Parameters!$B$16+ROUNDUP((50*25/Parameters!$B$6)*1024/Parameters!$B$11,0)/10000*Parameters!$B$15+(50*25/Parameters!$B$6)*Parameters!$B$14*Parameters!$B$7</f>
        <v/>
      </c>
      <c r="E30" s="29">
        <f>(50*50/Parameters!$B$6)*Parameters!$B$16+ROUNDUP((50*50/Parameters!$B$6)*1024/Parameters!$B$11,0)/10000*Parameters!$B$15+(50*50/Parameters!$B$6)*Parameters!$B$14*Parameters!$B$7</f>
        <v/>
      </c>
      <c r="F30" s="29">
        <f>(50*100/Parameters!$B$6)*Parameters!$B$16+ROUNDUP((50*100/Parameters!$B$6)*1024/Parameters!$B$11,0)/10000*Parameters!$B$15+(50*100/Parameters!$B$6)*Parameters!$B$14*Parameters!$B$7</f>
        <v/>
      </c>
      <c r="G30" s="29">
        <f>(50*250/Parameters!$B$6)*Parameters!$B$16+ROUNDUP((50*250/Parameters!$B$6)*1024/Parameters!$B$11,0)/10000*Parameters!$B$15+(50*250/Parameters!$B$6)*Parameters!$B$14*Parameters!$B$7</f>
        <v/>
      </c>
      <c r="H30" s="29">
        <f>(50*500/Parameters!$B$6)*Parameters!$B$16+ROUNDUP((50*500/Parameters!$B$6)*1024/Parameters!$B$11,0)/10000*Parameters!$B$15+(50*500/Parameters!$B$6)*Parameters!$B$14*Parameters!$B$7</f>
        <v/>
      </c>
      <c r="I30" s="29">
        <f>(50*1000/Parameters!$B$6)*Parameters!$B$16+ROUNDUP((50*1000/Parameters!$B$6)*1024/Parameters!$B$11,0)/10000*Parameters!$B$15+(50*1000/Parameters!$B$6)*Parameters!$B$14*Parameters!$B$7</f>
        <v/>
      </c>
    </row>
    <row r="31">
      <c r="A31" s="28" t="n">
        <v>100</v>
      </c>
      <c r="B31" s="29">
        <f>(100*5/Parameters!$B$6)*Parameters!$B$16+ROUNDUP((100*5/Parameters!$B$6)*1024/Parameters!$B$11,0)/10000*Parameters!$B$15+(100*5/Parameters!$B$6)*Parameters!$B$14*Parameters!$B$7</f>
        <v/>
      </c>
      <c r="C31" s="29">
        <f>(100*10/Parameters!$B$6)*Parameters!$B$16+ROUNDUP((100*10/Parameters!$B$6)*1024/Parameters!$B$11,0)/10000*Parameters!$B$15+(100*10/Parameters!$B$6)*Parameters!$B$14*Parameters!$B$7</f>
        <v/>
      </c>
      <c r="D31" s="29">
        <f>(100*25/Parameters!$B$6)*Parameters!$B$16+ROUNDUP((100*25/Parameters!$B$6)*1024/Parameters!$B$11,0)/10000*Parameters!$B$15+(100*25/Parameters!$B$6)*Parameters!$B$14*Parameters!$B$7</f>
        <v/>
      </c>
      <c r="E31" s="29">
        <f>(100*50/Parameters!$B$6)*Parameters!$B$16+ROUNDUP((100*50/Parameters!$B$6)*1024/Parameters!$B$11,0)/10000*Parameters!$B$15+(100*50/Parameters!$B$6)*Parameters!$B$14*Parameters!$B$7</f>
        <v/>
      </c>
      <c r="F31" s="29">
        <f>(100*100/Parameters!$B$6)*Parameters!$B$16+ROUNDUP((100*100/Parameters!$B$6)*1024/Parameters!$B$11,0)/10000*Parameters!$B$15+(100*100/Parameters!$B$6)*Parameters!$B$14*Parameters!$B$7</f>
        <v/>
      </c>
      <c r="G31" s="29">
        <f>(100*250/Parameters!$B$6)*Parameters!$B$16+ROUNDUP((100*250/Parameters!$B$6)*1024/Parameters!$B$11,0)/10000*Parameters!$B$15+(100*250/Parameters!$B$6)*Parameters!$B$14*Parameters!$B$7</f>
        <v/>
      </c>
      <c r="H31" s="29">
        <f>(100*500/Parameters!$B$6)*Parameters!$B$16+ROUNDUP((100*500/Parameters!$B$6)*1024/Parameters!$B$11,0)/10000*Parameters!$B$15+(100*500/Parameters!$B$6)*Parameters!$B$14*Parameters!$B$7</f>
        <v/>
      </c>
      <c r="I31" s="29">
        <f>(100*1000/Parameters!$B$6)*Parameters!$B$16+ROUNDUP((100*1000/Parameters!$B$6)*1024/Parameters!$B$11,0)/10000*Parameters!$B$15+(100*1000/Parameters!$B$6)*Parameters!$B$14*Parameters!$B$7</f>
        <v/>
      </c>
    </row>
    <row r="32">
      <c r="A32" s="28" t="n">
        <v>200</v>
      </c>
      <c r="B32" s="29">
        <f>(200*5/Parameters!$B$6)*Parameters!$B$16+ROUNDUP((200*5/Parameters!$B$6)*1024/Parameters!$B$11,0)/10000*Parameters!$B$15+(200*5/Parameters!$B$6)*Parameters!$B$14*Parameters!$B$7</f>
        <v/>
      </c>
      <c r="C32" s="29">
        <f>(200*10/Parameters!$B$6)*Parameters!$B$16+ROUNDUP((200*10/Parameters!$B$6)*1024/Parameters!$B$11,0)/10000*Parameters!$B$15+(200*10/Parameters!$B$6)*Parameters!$B$14*Parameters!$B$7</f>
        <v/>
      </c>
      <c r="D32" s="29">
        <f>(200*25/Parameters!$B$6)*Parameters!$B$16+ROUNDUP((200*25/Parameters!$B$6)*1024/Parameters!$B$11,0)/10000*Parameters!$B$15+(200*25/Parameters!$B$6)*Parameters!$B$14*Parameters!$B$7</f>
        <v/>
      </c>
      <c r="E32" s="29">
        <f>(200*50/Parameters!$B$6)*Parameters!$B$16+ROUNDUP((200*50/Parameters!$B$6)*1024/Parameters!$B$11,0)/10000*Parameters!$B$15+(200*50/Parameters!$B$6)*Parameters!$B$14*Parameters!$B$7</f>
        <v/>
      </c>
      <c r="F32" s="29">
        <f>(200*100/Parameters!$B$6)*Parameters!$B$16+ROUNDUP((200*100/Parameters!$B$6)*1024/Parameters!$B$11,0)/10000*Parameters!$B$15+(200*100/Parameters!$B$6)*Parameters!$B$14*Parameters!$B$7</f>
        <v/>
      </c>
      <c r="G32" s="29">
        <f>(200*250/Parameters!$B$6)*Parameters!$B$16+ROUNDUP((200*250/Parameters!$B$6)*1024/Parameters!$B$11,0)/10000*Parameters!$B$15+(200*250/Parameters!$B$6)*Parameters!$B$14*Parameters!$B$7</f>
        <v/>
      </c>
      <c r="H32" s="29">
        <f>(200*500/Parameters!$B$6)*Parameters!$B$16+ROUNDUP((200*500/Parameters!$B$6)*1024/Parameters!$B$11,0)/10000*Parameters!$B$15+(200*500/Parameters!$B$6)*Parameters!$B$14*Parameters!$B$7</f>
        <v/>
      </c>
      <c r="I32" s="29">
        <f>(200*1000/Parameters!$B$6)*Parameters!$B$16+ROUNDUP((200*1000/Parameters!$B$6)*1024/Parameters!$B$11,0)/10000*Parameters!$B$15+(200*1000/Parameters!$B$6)*Parameters!$B$14*Parameters!$B$7</f>
        <v/>
      </c>
    </row>
    <row r="33">
      <c r="A33" s="28" t="n">
        <v>400</v>
      </c>
      <c r="B33" s="29">
        <f>(400*5/Parameters!$B$6)*Parameters!$B$16+ROUNDUP((400*5/Parameters!$B$6)*1024/Parameters!$B$11,0)/10000*Parameters!$B$15+(400*5/Parameters!$B$6)*Parameters!$B$14*Parameters!$B$7</f>
        <v/>
      </c>
      <c r="C33" s="29">
        <f>(400*10/Parameters!$B$6)*Parameters!$B$16+ROUNDUP((400*10/Parameters!$B$6)*1024/Parameters!$B$11,0)/10000*Parameters!$B$15+(400*10/Parameters!$B$6)*Parameters!$B$14*Parameters!$B$7</f>
        <v/>
      </c>
      <c r="D33" s="29">
        <f>(400*25/Parameters!$B$6)*Parameters!$B$16+ROUNDUP((400*25/Parameters!$B$6)*1024/Parameters!$B$11,0)/10000*Parameters!$B$15+(400*25/Parameters!$B$6)*Parameters!$B$14*Parameters!$B$7</f>
        <v/>
      </c>
      <c r="E33" s="29">
        <f>(400*50/Parameters!$B$6)*Parameters!$B$16+ROUNDUP((400*50/Parameters!$B$6)*1024/Parameters!$B$11,0)/10000*Parameters!$B$15+(400*50/Parameters!$B$6)*Parameters!$B$14*Parameters!$B$7</f>
        <v/>
      </c>
      <c r="F33" s="29">
        <f>(400*100/Parameters!$B$6)*Parameters!$B$16+ROUNDUP((400*100/Parameters!$B$6)*1024/Parameters!$B$11,0)/10000*Parameters!$B$15+(400*100/Parameters!$B$6)*Parameters!$B$14*Parameters!$B$7</f>
        <v/>
      </c>
      <c r="G33" s="29">
        <f>(400*250/Parameters!$B$6)*Parameters!$B$16+ROUNDUP((400*250/Parameters!$B$6)*1024/Parameters!$B$11,0)/10000*Parameters!$B$15+(400*250/Parameters!$B$6)*Parameters!$B$14*Parameters!$B$7</f>
        <v/>
      </c>
      <c r="H33" s="29">
        <f>(400*500/Parameters!$B$6)*Parameters!$B$16+ROUNDUP((400*500/Parameters!$B$6)*1024/Parameters!$B$11,0)/10000*Parameters!$B$15+(400*500/Parameters!$B$6)*Parameters!$B$14*Parameters!$B$7</f>
        <v/>
      </c>
      <c r="I33" s="29">
        <f>(400*1000/Parameters!$B$6)*Parameters!$B$16+ROUNDUP((400*1000/Parameters!$B$6)*1024/Parameters!$B$11,0)/10000*Parameters!$B$15+(400*1000/Parameters!$B$6)*Parameters!$B$14*Parameters!$B$7</f>
        <v/>
      </c>
    </row>
    <row r="34">
      <c r="A34" s="28" t="n">
        <v>800</v>
      </c>
      <c r="B34" s="29">
        <f>(800*5/Parameters!$B$6)*Parameters!$B$16+ROUNDUP((800*5/Parameters!$B$6)*1024/Parameters!$B$11,0)/10000*Parameters!$B$15+(800*5/Parameters!$B$6)*Parameters!$B$14*Parameters!$B$7</f>
        <v/>
      </c>
      <c r="C34" s="29">
        <f>(800*10/Parameters!$B$6)*Parameters!$B$16+ROUNDUP((800*10/Parameters!$B$6)*1024/Parameters!$B$11,0)/10000*Parameters!$B$15+(800*10/Parameters!$B$6)*Parameters!$B$14*Parameters!$B$7</f>
        <v/>
      </c>
      <c r="D34" s="29">
        <f>(800*25/Parameters!$B$6)*Parameters!$B$16+ROUNDUP((800*25/Parameters!$B$6)*1024/Parameters!$B$11,0)/10000*Parameters!$B$15+(800*25/Parameters!$B$6)*Parameters!$B$14*Parameters!$B$7</f>
        <v/>
      </c>
      <c r="E34" s="29">
        <f>(800*50/Parameters!$B$6)*Parameters!$B$16+ROUNDUP((800*50/Parameters!$B$6)*1024/Parameters!$B$11,0)/10000*Parameters!$B$15+(800*50/Parameters!$B$6)*Parameters!$B$14*Parameters!$B$7</f>
        <v/>
      </c>
      <c r="F34" s="29">
        <f>(800*100/Parameters!$B$6)*Parameters!$B$16+ROUNDUP((800*100/Parameters!$B$6)*1024/Parameters!$B$11,0)/10000*Parameters!$B$15+(800*100/Parameters!$B$6)*Parameters!$B$14*Parameters!$B$7</f>
        <v/>
      </c>
      <c r="G34" s="29">
        <f>(800*250/Parameters!$B$6)*Parameters!$B$16+ROUNDUP((800*250/Parameters!$B$6)*1024/Parameters!$B$11,0)/10000*Parameters!$B$15+(800*250/Parameters!$B$6)*Parameters!$B$14*Parameters!$B$7</f>
        <v/>
      </c>
      <c r="H34" s="29">
        <f>(800*500/Parameters!$B$6)*Parameters!$B$16+ROUNDUP((800*500/Parameters!$B$6)*1024/Parameters!$B$11,0)/10000*Parameters!$B$15+(800*500/Parameters!$B$6)*Parameters!$B$14*Parameters!$B$7</f>
        <v/>
      </c>
      <c r="I34" s="29">
        <f>(800*1000/Parameters!$B$6)*Parameters!$B$16+ROUNDUP((800*1000/Parameters!$B$6)*1024/Parameters!$B$11,0)/10000*Parameters!$B$15+(800*1000/Parameters!$B$6)*Parameters!$B$14*Parameters!$B$7</f>
        <v/>
      </c>
    </row>
    <row r="37">
      <c r="A37" s="6" t="inlineStr">
        <is>
          <t>If block 1 is all zeros, that is correct: same-region transfer is free, including into a storage account in a different subscription.</t>
        </is>
      </c>
    </row>
    <row r="38">
      <c r="A38" s="6" t="inlineStr">
        <is>
          <t>Every cell uses the first-band storage rate. Only the Hot tier is volume-banded, so if the tier on 'Parameters' is Hot, cells whose artifact volume exceeds 50 TB (count x size / compression &gt; 51,200 GB) overstate the cost by roughly 4 percent. Cool, Cold and Archive are flat at any volume.</t>
        </is>
      </c>
    </row>
    <row r="39"/>
  </sheetData>
  <mergeCells count="7">
    <mergeCell ref="A15:I15"/>
    <mergeCell ref="A2:I2"/>
    <mergeCell ref="A37:I37"/>
    <mergeCell ref="A1:I1"/>
    <mergeCell ref="A38:I39"/>
    <mergeCell ref="A4:I4"/>
    <mergeCell ref="A26:I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22" customWidth="1" min="1" max="1"/>
    <col width="18" customWidth="1" min="2" max="2"/>
    <col width="18" customWidth="1" min="3" max="3"/>
    <col width="22" customWidth="1" min="4" max="4"/>
    <col width="20" customWidth="1" min="5" max="5"/>
    <col width="18" customWidth="1" min="6" max="6"/>
    <col width="22" customWidth="1" min="7" max="7"/>
  </cols>
  <sheetData>
    <row r="1" ht="24" customHeight="1">
      <c r="A1" s="1" t="inlineStr">
        <is>
          <t>What each storage tier costs for the current scenario</t>
        </is>
      </c>
    </row>
    <row r="2">
      <c r="A2" s="6" t="inlineStr">
        <is>
          <t>Scenario comes from 'Parameters'. 'Read back once' is what it costs to retrieve every artifact a single time: the column people forget until an auditor asks.</t>
        </is>
      </c>
    </row>
    <row r="4">
      <c r="A4" s="18" t="inlineStr">
        <is>
          <t>Tier + redundancy</t>
        </is>
      </c>
      <c r="B4" s="18" t="inlineStr">
        <is>
          <t>Stored $/GB/mo</t>
        </is>
      </c>
      <c r="C4" s="18" t="inlineStr">
        <is>
          <t>Storage / month</t>
        </is>
      </c>
      <c r="D4" s="18" t="inlineStr">
        <is>
          <t>Storage over retention</t>
        </is>
      </c>
      <c r="E4" s="18" t="inlineStr">
        <is>
          <t>Transfer (one time)</t>
        </is>
      </c>
      <c r="F4" s="18" t="inlineStr">
        <is>
          <t>TOTAL</t>
        </is>
      </c>
      <c r="G4" s="18" t="inlineStr">
        <is>
          <t>Read back once</t>
        </is>
      </c>
    </row>
    <row r="5">
      <c r="A5" s="31" t="inlineStr">
        <is>
          <t>Hot GRS</t>
        </is>
      </c>
      <c r="B5" s="20">
        <f>INDEX(Prices!$D$5:$D$25,MATCH("Hot GRS",Prices!$A$5:$A$25,0))</f>
        <v/>
      </c>
      <c r="C5" s="29">
        <f>Parameters!$B$20*$B5</f>
        <v/>
      </c>
      <c r="D5" s="29">
        <f>$C5*Parameters!$B$7</f>
        <v/>
      </c>
      <c r="E5" s="29">
        <f>Parameters!$B$20*Parameters!$B$16+Parameters!$B$21/10000*INDEX(Prices!$E$5:$E$25,MATCH("Hot GRS",Prices!$A$5:$A$25,0))</f>
        <v/>
      </c>
      <c r="F5" s="32">
        <f>$D5+$E5</f>
        <v/>
      </c>
      <c r="G5" s="29">
        <f>Parameters!$B$20*INDEX(Prices!$G$5:$G$25,MATCH("Hot GRS",Prices!$A$5:$A$25,0))+Parameters!$B$21/10000*INDEX(Prices!$F$5:$F$25,MATCH("Hot GRS",Prices!$A$5:$A$25,0))</f>
        <v/>
      </c>
    </row>
    <row r="6">
      <c r="A6" s="31" t="inlineStr">
        <is>
          <t>Hot GZRS</t>
        </is>
      </c>
      <c r="B6" s="20">
        <f>INDEX(Prices!$D$5:$D$25,MATCH("Hot GZRS",Prices!$A$5:$A$25,0))</f>
        <v/>
      </c>
      <c r="C6" s="29">
        <f>Parameters!$B$20*$B6</f>
        <v/>
      </c>
      <c r="D6" s="29">
        <f>$C6*Parameters!$B$7</f>
        <v/>
      </c>
      <c r="E6" s="29">
        <f>Parameters!$B$20*Parameters!$B$16+Parameters!$B$21/10000*INDEX(Prices!$E$5:$E$25,MATCH("Hot GZRS",Prices!$A$5:$A$25,0))</f>
        <v/>
      </c>
      <c r="F6" s="32">
        <f>$D6+$E6</f>
        <v/>
      </c>
      <c r="G6" s="29">
        <f>Parameters!$B$20*INDEX(Prices!$G$5:$G$25,MATCH("Hot GZRS",Prices!$A$5:$A$25,0))+Parameters!$B$21/10000*INDEX(Prices!$F$5:$F$25,MATCH("Hot GZRS",Prices!$A$5:$A$25,0))</f>
        <v/>
      </c>
    </row>
    <row r="7">
      <c r="A7" s="31" t="inlineStr">
        <is>
          <t>Hot LRS</t>
        </is>
      </c>
      <c r="B7" s="20">
        <f>INDEX(Prices!$D$5:$D$25,MATCH("Hot LRS",Prices!$A$5:$A$25,0))</f>
        <v/>
      </c>
      <c r="C7" s="29">
        <f>Parameters!$B$20*$B7</f>
        <v/>
      </c>
      <c r="D7" s="29">
        <f>$C7*Parameters!$B$7</f>
        <v/>
      </c>
      <c r="E7" s="29">
        <f>Parameters!$B$20*Parameters!$B$16+Parameters!$B$21/10000*INDEX(Prices!$E$5:$E$25,MATCH("Hot LRS",Prices!$A$5:$A$25,0))</f>
        <v/>
      </c>
      <c r="F7" s="32">
        <f>$D7+$E7</f>
        <v/>
      </c>
      <c r="G7" s="29">
        <f>Parameters!$B$20*INDEX(Prices!$G$5:$G$25,MATCH("Hot LRS",Prices!$A$5:$A$25,0))+Parameters!$B$21/10000*INDEX(Prices!$F$5:$F$25,MATCH("Hot LRS",Prices!$A$5:$A$25,0))</f>
        <v/>
      </c>
    </row>
    <row r="8">
      <c r="A8" s="31" t="inlineStr">
        <is>
          <t>Hot RA-GRS</t>
        </is>
      </c>
      <c r="B8" s="20">
        <f>INDEX(Prices!$D$5:$D$25,MATCH("Hot RA-GRS",Prices!$A$5:$A$25,0))</f>
        <v/>
      </c>
      <c r="C8" s="29">
        <f>Parameters!$B$20*$B8</f>
        <v/>
      </c>
      <c r="D8" s="29">
        <f>$C8*Parameters!$B$7</f>
        <v/>
      </c>
      <c r="E8" s="29">
        <f>Parameters!$B$20*Parameters!$B$16+Parameters!$B$21/10000*INDEX(Prices!$E$5:$E$25,MATCH("Hot RA-GRS",Prices!$A$5:$A$25,0))</f>
        <v/>
      </c>
      <c r="F8" s="32">
        <f>$D8+$E8</f>
        <v/>
      </c>
      <c r="G8" s="29">
        <f>Parameters!$B$20*INDEX(Prices!$G$5:$G$25,MATCH("Hot RA-GRS",Prices!$A$5:$A$25,0))+Parameters!$B$21/10000*INDEX(Prices!$F$5:$F$25,MATCH("Hot RA-GRS",Prices!$A$5:$A$25,0))</f>
        <v/>
      </c>
    </row>
    <row r="9">
      <c r="A9" s="31" t="inlineStr">
        <is>
          <t>Hot RA-GZRS</t>
        </is>
      </c>
      <c r="B9" s="20">
        <f>INDEX(Prices!$D$5:$D$25,MATCH("Hot RA-GZRS",Prices!$A$5:$A$25,0))</f>
        <v/>
      </c>
      <c r="C9" s="29">
        <f>Parameters!$B$20*$B9</f>
        <v/>
      </c>
      <c r="D9" s="29">
        <f>$C9*Parameters!$B$7</f>
        <v/>
      </c>
      <c r="E9" s="29">
        <f>Parameters!$B$20*Parameters!$B$16+Parameters!$B$21/10000*INDEX(Prices!$E$5:$E$25,MATCH("Hot RA-GZRS",Prices!$A$5:$A$25,0))</f>
        <v/>
      </c>
      <c r="F9" s="32">
        <f>$D9+$E9</f>
        <v/>
      </c>
      <c r="G9" s="29">
        <f>Parameters!$B$20*INDEX(Prices!$G$5:$G$25,MATCH("Hot RA-GZRS",Prices!$A$5:$A$25,0))+Parameters!$B$21/10000*INDEX(Prices!$F$5:$F$25,MATCH("Hot RA-GZRS",Prices!$A$5:$A$25,0))</f>
        <v/>
      </c>
    </row>
    <row r="10">
      <c r="A10" s="31" t="inlineStr">
        <is>
          <t>Hot ZRS</t>
        </is>
      </c>
      <c r="B10" s="20">
        <f>INDEX(Prices!$D$5:$D$25,MATCH("Hot ZRS",Prices!$A$5:$A$25,0))</f>
        <v/>
      </c>
      <c r="C10" s="29">
        <f>Parameters!$B$20*$B10</f>
        <v/>
      </c>
      <c r="D10" s="29">
        <f>$C10*Parameters!$B$7</f>
        <v/>
      </c>
      <c r="E10" s="29">
        <f>Parameters!$B$20*Parameters!$B$16+Parameters!$B$21/10000*INDEX(Prices!$E$5:$E$25,MATCH("Hot ZRS",Prices!$A$5:$A$25,0))</f>
        <v/>
      </c>
      <c r="F10" s="32">
        <f>$D10+$E10</f>
        <v/>
      </c>
      <c r="G10" s="29">
        <f>Parameters!$B$20*INDEX(Prices!$G$5:$G$25,MATCH("Hot ZRS",Prices!$A$5:$A$25,0))+Parameters!$B$21/10000*INDEX(Prices!$F$5:$F$25,MATCH("Hot ZRS",Prices!$A$5:$A$25,0))</f>
        <v/>
      </c>
    </row>
    <row r="11">
      <c r="A11" s="31" t="inlineStr">
        <is>
          <t>Cool GRS</t>
        </is>
      </c>
      <c r="B11" s="20">
        <f>INDEX(Prices!$D$5:$D$25,MATCH("Cool GRS",Prices!$A$5:$A$25,0))</f>
        <v/>
      </c>
      <c r="C11" s="29">
        <f>Parameters!$B$20*$B11</f>
        <v/>
      </c>
      <c r="D11" s="29">
        <f>$C11*Parameters!$B$7</f>
        <v/>
      </c>
      <c r="E11" s="29">
        <f>Parameters!$B$20*Parameters!$B$16+Parameters!$B$21/10000*INDEX(Prices!$E$5:$E$25,MATCH("Cool GRS",Prices!$A$5:$A$25,0))</f>
        <v/>
      </c>
      <c r="F11" s="32">
        <f>$D11+$E11</f>
        <v/>
      </c>
      <c r="G11" s="29">
        <f>Parameters!$B$20*INDEX(Prices!$G$5:$G$25,MATCH("Cool GRS",Prices!$A$5:$A$25,0))+Parameters!$B$21/10000*INDEX(Prices!$F$5:$F$25,MATCH("Cool GRS",Prices!$A$5:$A$25,0))</f>
        <v/>
      </c>
    </row>
    <row r="12">
      <c r="A12" s="31" t="inlineStr">
        <is>
          <t>Cool GZRS</t>
        </is>
      </c>
      <c r="B12" s="20">
        <f>INDEX(Prices!$D$5:$D$25,MATCH("Cool GZRS",Prices!$A$5:$A$25,0))</f>
        <v/>
      </c>
      <c r="C12" s="29">
        <f>Parameters!$B$20*$B12</f>
        <v/>
      </c>
      <c r="D12" s="29">
        <f>$C12*Parameters!$B$7</f>
        <v/>
      </c>
      <c r="E12" s="29">
        <f>Parameters!$B$20*Parameters!$B$16+Parameters!$B$21/10000*INDEX(Prices!$E$5:$E$25,MATCH("Cool GZRS",Prices!$A$5:$A$25,0))</f>
        <v/>
      </c>
      <c r="F12" s="32">
        <f>$D12+$E12</f>
        <v/>
      </c>
      <c r="G12" s="29">
        <f>Parameters!$B$20*INDEX(Prices!$G$5:$G$25,MATCH("Cool GZRS",Prices!$A$5:$A$25,0))+Parameters!$B$21/10000*INDEX(Prices!$F$5:$F$25,MATCH("Cool GZRS",Prices!$A$5:$A$25,0))</f>
        <v/>
      </c>
    </row>
    <row r="13">
      <c r="A13" s="31" t="inlineStr">
        <is>
          <t>Cool LRS</t>
        </is>
      </c>
      <c r="B13" s="20">
        <f>INDEX(Prices!$D$5:$D$25,MATCH("Cool LRS",Prices!$A$5:$A$25,0))</f>
        <v/>
      </c>
      <c r="C13" s="29">
        <f>Parameters!$B$20*$B13</f>
        <v/>
      </c>
      <c r="D13" s="29">
        <f>$C13*Parameters!$B$7</f>
        <v/>
      </c>
      <c r="E13" s="29">
        <f>Parameters!$B$20*Parameters!$B$16+Parameters!$B$21/10000*INDEX(Prices!$E$5:$E$25,MATCH("Cool LRS",Prices!$A$5:$A$25,0))</f>
        <v/>
      </c>
      <c r="F13" s="32">
        <f>$D13+$E13</f>
        <v/>
      </c>
      <c r="G13" s="29">
        <f>Parameters!$B$20*INDEX(Prices!$G$5:$G$25,MATCH("Cool LRS",Prices!$A$5:$A$25,0))+Parameters!$B$21/10000*INDEX(Prices!$F$5:$F$25,MATCH("Cool LRS",Prices!$A$5:$A$25,0))</f>
        <v/>
      </c>
    </row>
    <row r="14">
      <c r="A14" s="31" t="inlineStr">
        <is>
          <t>Cool RA-GRS</t>
        </is>
      </c>
      <c r="B14" s="20">
        <f>INDEX(Prices!$D$5:$D$25,MATCH("Cool RA-GRS",Prices!$A$5:$A$25,0))</f>
        <v/>
      </c>
      <c r="C14" s="29">
        <f>Parameters!$B$20*$B14</f>
        <v/>
      </c>
      <c r="D14" s="29">
        <f>$C14*Parameters!$B$7</f>
        <v/>
      </c>
      <c r="E14" s="29">
        <f>Parameters!$B$20*Parameters!$B$16+Parameters!$B$21/10000*INDEX(Prices!$E$5:$E$25,MATCH("Cool RA-GRS",Prices!$A$5:$A$25,0))</f>
        <v/>
      </c>
      <c r="F14" s="32">
        <f>$D14+$E14</f>
        <v/>
      </c>
      <c r="G14" s="29">
        <f>Parameters!$B$20*INDEX(Prices!$G$5:$G$25,MATCH("Cool RA-GRS",Prices!$A$5:$A$25,0))+Parameters!$B$21/10000*INDEX(Prices!$F$5:$F$25,MATCH("Cool RA-GRS",Prices!$A$5:$A$25,0))</f>
        <v/>
      </c>
    </row>
    <row r="15">
      <c r="A15" s="31" t="inlineStr">
        <is>
          <t>Cool RA-GZRS</t>
        </is>
      </c>
      <c r="B15" s="20">
        <f>INDEX(Prices!$D$5:$D$25,MATCH("Cool RA-GZRS",Prices!$A$5:$A$25,0))</f>
        <v/>
      </c>
      <c r="C15" s="29">
        <f>Parameters!$B$20*$B15</f>
        <v/>
      </c>
      <c r="D15" s="29">
        <f>$C15*Parameters!$B$7</f>
        <v/>
      </c>
      <c r="E15" s="29">
        <f>Parameters!$B$20*Parameters!$B$16+Parameters!$B$21/10000*INDEX(Prices!$E$5:$E$25,MATCH("Cool RA-GZRS",Prices!$A$5:$A$25,0))</f>
        <v/>
      </c>
      <c r="F15" s="32">
        <f>$D15+$E15</f>
        <v/>
      </c>
      <c r="G15" s="29">
        <f>Parameters!$B$20*INDEX(Prices!$G$5:$G$25,MATCH("Cool RA-GZRS",Prices!$A$5:$A$25,0))+Parameters!$B$21/10000*INDEX(Prices!$F$5:$F$25,MATCH("Cool RA-GZRS",Prices!$A$5:$A$25,0))</f>
        <v/>
      </c>
    </row>
    <row r="16">
      <c r="A16" s="31" t="inlineStr">
        <is>
          <t>Cool ZRS</t>
        </is>
      </c>
      <c r="B16" s="20">
        <f>INDEX(Prices!$D$5:$D$25,MATCH("Cool ZRS",Prices!$A$5:$A$25,0))</f>
        <v/>
      </c>
      <c r="C16" s="29">
        <f>Parameters!$B$20*$B16</f>
        <v/>
      </c>
      <c r="D16" s="29">
        <f>$C16*Parameters!$B$7</f>
        <v/>
      </c>
      <c r="E16" s="29">
        <f>Parameters!$B$20*Parameters!$B$16+Parameters!$B$21/10000*INDEX(Prices!$E$5:$E$25,MATCH("Cool ZRS",Prices!$A$5:$A$25,0))</f>
        <v/>
      </c>
      <c r="F16" s="32">
        <f>$D16+$E16</f>
        <v/>
      </c>
      <c r="G16" s="29">
        <f>Parameters!$B$20*INDEX(Prices!$G$5:$G$25,MATCH("Cool ZRS",Prices!$A$5:$A$25,0))+Parameters!$B$21/10000*INDEX(Prices!$F$5:$F$25,MATCH("Cool ZRS",Prices!$A$5:$A$25,0))</f>
        <v/>
      </c>
    </row>
    <row r="17">
      <c r="A17" s="31" t="inlineStr">
        <is>
          <t>Cold GRS</t>
        </is>
      </c>
      <c r="B17" s="20">
        <f>INDEX(Prices!$D$5:$D$25,MATCH("Cold GRS",Prices!$A$5:$A$25,0))</f>
        <v/>
      </c>
      <c r="C17" s="29">
        <f>Parameters!$B$20*$B17</f>
        <v/>
      </c>
      <c r="D17" s="29">
        <f>$C17*Parameters!$B$7</f>
        <v/>
      </c>
      <c r="E17" s="29">
        <f>Parameters!$B$20*Parameters!$B$16+Parameters!$B$21/10000*INDEX(Prices!$E$5:$E$25,MATCH("Cold GRS",Prices!$A$5:$A$25,0))</f>
        <v/>
      </c>
      <c r="F17" s="32">
        <f>$D17+$E17</f>
        <v/>
      </c>
      <c r="G17" s="29">
        <f>Parameters!$B$20*INDEX(Prices!$G$5:$G$25,MATCH("Cold GRS",Prices!$A$5:$A$25,0))+Parameters!$B$21/10000*INDEX(Prices!$F$5:$F$25,MATCH("Cold GRS",Prices!$A$5:$A$25,0))</f>
        <v/>
      </c>
    </row>
    <row r="18">
      <c r="A18" s="31" t="inlineStr">
        <is>
          <t>Cold GZRS</t>
        </is>
      </c>
      <c r="B18" s="20">
        <f>INDEX(Prices!$D$5:$D$25,MATCH("Cold GZRS",Prices!$A$5:$A$25,0))</f>
        <v/>
      </c>
      <c r="C18" s="29">
        <f>Parameters!$B$20*$B18</f>
        <v/>
      </c>
      <c r="D18" s="29">
        <f>$C18*Parameters!$B$7</f>
        <v/>
      </c>
      <c r="E18" s="29">
        <f>Parameters!$B$20*Parameters!$B$16+Parameters!$B$21/10000*INDEX(Prices!$E$5:$E$25,MATCH("Cold GZRS",Prices!$A$5:$A$25,0))</f>
        <v/>
      </c>
      <c r="F18" s="32">
        <f>$D18+$E18</f>
        <v/>
      </c>
      <c r="G18" s="29">
        <f>Parameters!$B$20*INDEX(Prices!$G$5:$G$25,MATCH("Cold GZRS",Prices!$A$5:$A$25,0))+Parameters!$B$21/10000*INDEX(Prices!$F$5:$F$25,MATCH("Cold GZRS",Prices!$A$5:$A$25,0))</f>
        <v/>
      </c>
    </row>
    <row r="19">
      <c r="A19" s="31" t="inlineStr">
        <is>
          <t>Cold LRS</t>
        </is>
      </c>
      <c r="B19" s="20">
        <f>INDEX(Prices!$D$5:$D$25,MATCH("Cold LRS",Prices!$A$5:$A$25,0))</f>
        <v/>
      </c>
      <c r="C19" s="29">
        <f>Parameters!$B$20*$B19</f>
        <v/>
      </c>
      <c r="D19" s="29">
        <f>$C19*Parameters!$B$7</f>
        <v/>
      </c>
      <c r="E19" s="29">
        <f>Parameters!$B$20*Parameters!$B$16+Parameters!$B$21/10000*INDEX(Prices!$E$5:$E$25,MATCH("Cold LRS",Prices!$A$5:$A$25,0))</f>
        <v/>
      </c>
      <c r="F19" s="32">
        <f>$D19+$E19</f>
        <v/>
      </c>
      <c r="G19" s="29">
        <f>Parameters!$B$20*INDEX(Prices!$G$5:$G$25,MATCH("Cold LRS",Prices!$A$5:$A$25,0))+Parameters!$B$21/10000*INDEX(Prices!$F$5:$F$25,MATCH("Cold LRS",Prices!$A$5:$A$25,0))</f>
        <v/>
      </c>
    </row>
    <row r="20">
      <c r="A20" s="31" t="inlineStr">
        <is>
          <t>Cold RA-GRS</t>
        </is>
      </c>
      <c r="B20" s="20">
        <f>INDEX(Prices!$D$5:$D$25,MATCH("Cold RA-GRS",Prices!$A$5:$A$25,0))</f>
        <v/>
      </c>
      <c r="C20" s="29">
        <f>Parameters!$B$20*$B20</f>
        <v/>
      </c>
      <c r="D20" s="29">
        <f>$C20*Parameters!$B$7</f>
        <v/>
      </c>
      <c r="E20" s="29">
        <f>Parameters!$B$20*Parameters!$B$16+Parameters!$B$21/10000*INDEX(Prices!$E$5:$E$25,MATCH("Cold RA-GRS",Prices!$A$5:$A$25,0))</f>
        <v/>
      </c>
      <c r="F20" s="32">
        <f>$D20+$E20</f>
        <v/>
      </c>
      <c r="G20" s="29">
        <f>Parameters!$B$20*INDEX(Prices!$G$5:$G$25,MATCH("Cold RA-GRS",Prices!$A$5:$A$25,0))+Parameters!$B$21/10000*INDEX(Prices!$F$5:$F$25,MATCH("Cold RA-GRS",Prices!$A$5:$A$25,0))</f>
        <v/>
      </c>
    </row>
    <row r="21">
      <c r="A21" s="31" t="inlineStr">
        <is>
          <t>Cold RA-GZRS</t>
        </is>
      </c>
      <c r="B21" s="20">
        <f>INDEX(Prices!$D$5:$D$25,MATCH("Cold RA-GZRS",Prices!$A$5:$A$25,0))</f>
        <v/>
      </c>
      <c r="C21" s="29">
        <f>Parameters!$B$20*$B21</f>
        <v/>
      </c>
      <c r="D21" s="29">
        <f>$C21*Parameters!$B$7</f>
        <v/>
      </c>
      <c r="E21" s="29">
        <f>Parameters!$B$20*Parameters!$B$16+Parameters!$B$21/10000*INDEX(Prices!$E$5:$E$25,MATCH("Cold RA-GZRS",Prices!$A$5:$A$25,0))</f>
        <v/>
      </c>
      <c r="F21" s="32">
        <f>$D21+$E21</f>
        <v/>
      </c>
      <c r="G21" s="29">
        <f>Parameters!$B$20*INDEX(Prices!$G$5:$G$25,MATCH("Cold RA-GZRS",Prices!$A$5:$A$25,0))+Parameters!$B$21/10000*INDEX(Prices!$F$5:$F$25,MATCH("Cold RA-GZRS",Prices!$A$5:$A$25,0))</f>
        <v/>
      </c>
    </row>
    <row r="22">
      <c r="A22" s="31" t="inlineStr">
        <is>
          <t>Cold ZRS</t>
        </is>
      </c>
      <c r="B22" s="20">
        <f>INDEX(Prices!$D$5:$D$25,MATCH("Cold ZRS",Prices!$A$5:$A$25,0))</f>
        <v/>
      </c>
      <c r="C22" s="29">
        <f>Parameters!$B$20*$B22</f>
        <v/>
      </c>
      <c r="D22" s="29">
        <f>$C22*Parameters!$B$7</f>
        <v/>
      </c>
      <c r="E22" s="29">
        <f>Parameters!$B$20*Parameters!$B$16+Parameters!$B$21/10000*INDEX(Prices!$E$5:$E$25,MATCH("Cold ZRS",Prices!$A$5:$A$25,0))</f>
        <v/>
      </c>
      <c r="F22" s="32">
        <f>$D22+$E22</f>
        <v/>
      </c>
      <c r="G22" s="29">
        <f>Parameters!$B$20*INDEX(Prices!$G$5:$G$25,MATCH("Cold ZRS",Prices!$A$5:$A$25,0))+Parameters!$B$21/10000*INDEX(Prices!$F$5:$F$25,MATCH("Cold ZRS",Prices!$A$5:$A$25,0))</f>
        <v/>
      </c>
    </row>
    <row r="23">
      <c r="A23" s="33" t="inlineStr">
        <is>
          <t>Archive GRS</t>
        </is>
      </c>
      <c r="B23" s="9">
        <f>INDEX(Prices!$D$5:$D$25,MATCH("Archive GRS",Prices!$A$5:$A$25,0))</f>
        <v/>
      </c>
      <c r="C23" s="12">
        <f>Parameters!$B$20*$B23</f>
        <v/>
      </c>
      <c r="D23" s="12">
        <f>$C23*Parameters!$B$7</f>
        <v/>
      </c>
      <c r="E23" s="12">
        <f>Parameters!$B$20*Parameters!$B$16+Parameters!$B$21/10000*INDEX(Prices!$E$5:$E$25,MATCH("Archive GRS",Prices!$A$5:$A$25,0))</f>
        <v/>
      </c>
      <c r="F23" s="34">
        <f>$D23+$E23</f>
        <v/>
      </c>
      <c r="G23" s="12">
        <f>Parameters!$B$20*INDEX(Prices!$G$5:$G$25,MATCH("Archive GRS",Prices!$A$5:$A$25,0))+Parameters!$B$21/10000*INDEX(Prices!$F$5:$F$25,MATCH("Archive GRS",Prices!$A$5:$A$25,0))</f>
        <v/>
      </c>
    </row>
    <row r="24">
      <c r="A24" s="33" t="inlineStr">
        <is>
          <t>Archive LRS</t>
        </is>
      </c>
      <c r="B24" s="9">
        <f>INDEX(Prices!$D$5:$D$25,MATCH("Archive LRS",Prices!$A$5:$A$25,0))</f>
        <v/>
      </c>
      <c r="C24" s="12">
        <f>Parameters!$B$20*$B24</f>
        <v/>
      </c>
      <c r="D24" s="12">
        <f>$C24*Parameters!$B$7</f>
        <v/>
      </c>
      <c r="E24" s="12">
        <f>Parameters!$B$20*Parameters!$B$16+Parameters!$B$21/10000*INDEX(Prices!$E$5:$E$25,MATCH("Archive LRS",Prices!$A$5:$A$25,0))</f>
        <v/>
      </c>
      <c r="F24" s="34">
        <f>$D24+$E24</f>
        <v/>
      </c>
      <c r="G24" s="12">
        <f>Parameters!$B$20*INDEX(Prices!$G$5:$G$25,MATCH("Archive LRS",Prices!$A$5:$A$25,0))+Parameters!$B$21/10000*INDEX(Prices!$F$5:$F$25,MATCH("Archive LRS",Prices!$A$5:$A$25,0))</f>
        <v/>
      </c>
    </row>
    <row r="25">
      <c r="A25" s="33" t="inlineStr">
        <is>
          <t>Archive RA-GRS</t>
        </is>
      </c>
      <c r="B25" s="9">
        <f>INDEX(Prices!$D$5:$D$25,MATCH("Archive RA-GRS",Prices!$A$5:$A$25,0))</f>
        <v/>
      </c>
      <c r="C25" s="12">
        <f>Parameters!$B$20*$B25</f>
        <v/>
      </c>
      <c r="D25" s="12">
        <f>$C25*Parameters!$B$7</f>
        <v/>
      </c>
      <c r="E25" s="12">
        <f>Parameters!$B$20*Parameters!$B$16+Parameters!$B$21/10000*INDEX(Prices!$E$5:$E$25,MATCH("Archive RA-GRS",Prices!$A$5:$A$25,0))</f>
        <v/>
      </c>
      <c r="F25" s="34">
        <f>$D25+$E25</f>
        <v/>
      </c>
      <c r="G25" s="12">
        <f>Parameters!$B$20*INDEX(Prices!$G$5:$G$25,MATCH("Archive RA-GRS",Prices!$A$5:$A$25,0))+Parameters!$B$21/10000*INDEX(Prices!$F$5:$F$25,MATCH("Archive RA-GRS",Prices!$A$5:$A$25,0))</f>
        <v/>
      </c>
    </row>
    <row r="27">
      <c r="A27" s="17" t="inlineStr">
        <is>
          <t>Archive rows are highlighted: they are almost always the right answer for compliance copies that must exist but will probably never be read. Two caveats. Rehydration takes up to 15 hours at standard priority, and there is a 180-day minimum retention charge, so deleting early still bills you for 180 days.</t>
        </is>
      </c>
    </row>
    <row r="28"/>
    <row r="29"/>
  </sheetData>
  <mergeCells count="3">
    <mergeCell ref="A2:G2"/>
    <mergeCell ref="A1:G1"/>
    <mergeCell ref="A27:G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6" customWidth="1" min="1" max="1"/>
    <col width="16" customWidth="1" min="2" max="2"/>
    <col width="24" customWidth="1" min="3" max="3"/>
    <col width="18" customWidth="1" min="4" max="4"/>
    <col width="56" customWidth="1" min="5" max="5"/>
  </cols>
  <sheetData>
    <row r="1" ht="24" customHeight="1">
      <c r="A1" s="1" t="inlineStr">
        <is>
          <t>How much the answer moves with the compression ratio</t>
        </is>
      </c>
    </row>
    <row r="2">
      <c r="A2" s="6" t="inlineStr">
        <is>
          <t>Compression is the least certain input and it scales the largest term. Everything else comes from 'Parameters'. Budget with the worst ratio you actually measure, not the average you hope for.</t>
        </is>
      </c>
    </row>
    <row r="4">
      <c r="A4" s="18" t="inlineStr">
        <is>
          <t>Compression</t>
        </is>
      </c>
      <c r="B4" s="18" t="inlineStr">
        <is>
          <t>Artifact GB</t>
        </is>
      </c>
      <c r="C4" s="18" t="inlineStr">
        <is>
          <t>Storage over retention</t>
        </is>
      </c>
      <c r="D4" s="18" t="inlineStr">
        <is>
          <t>TOTAL</t>
        </is>
      </c>
      <c r="E4" s="18" t="inlineStr">
        <is>
          <t>What this looks like in practice</t>
        </is>
      </c>
    </row>
    <row r="5">
      <c r="A5" s="35" t="n">
        <v>1</v>
      </c>
      <c r="B5" s="36">
        <f>Parameters!$B$19/$A5</f>
        <v/>
      </c>
      <c r="C5" s="29">
        <f>$B5*Parameters!$B$14*Parameters!$B$7</f>
        <v/>
      </c>
      <c r="D5" s="29">
        <f>$C5+$B5*Parameters!$B$16+ROUNDUP($B5*1024/Parameters!$B$11,0)/10000*Parameters!$B$15</f>
        <v/>
      </c>
      <c r="E5" s="23" t="inlineStr">
        <is>
          <t>No compression at all.</t>
        </is>
      </c>
    </row>
    <row r="6">
      <c r="A6" s="37" t="n">
        <v>1.04</v>
      </c>
      <c r="B6" s="38">
        <f>Parameters!$B$19/$A6</f>
        <v/>
      </c>
      <c r="C6" s="16">
        <f>$B6*Parameters!$B$14*Parameters!$B$7</f>
        <v/>
      </c>
      <c r="D6" s="16">
        <f>$C6+$B6*Parameters!$B$16+ROUNDUP($B6*1024/Parameters!$B$11,0)/10000*Parameters!$B$15</f>
        <v/>
      </c>
      <c r="E6" s="23" t="inlineStr">
        <is>
          <t>MEASURED incompressible floor (2026-09-10): random/high-entropy data such as encrypted blobs or compressed application payloads. Recommended budgeting input when data shape is unknown.</t>
        </is>
      </c>
    </row>
    <row r="7">
      <c r="A7" s="35" t="n">
        <v>1.5</v>
      </c>
      <c r="B7" s="36">
        <f>Parameters!$B$19/$A7</f>
        <v/>
      </c>
      <c r="C7" s="29">
        <f>$B7*Parameters!$B$14*Parameters!$B$7</f>
        <v/>
      </c>
      <c r="D7" s="29">
        <f>$C7+$B7*Parameters!$B$16+ROUNDUP($B7*1024/Parameters!$B$11,0)/10000*Parameters!$B$15</f>
        <v/>
      </c>
      <c r="E7" s="23" t="inlineStr">
        <is>
          <t>Pessimistic estimate.</t>
        </is>
      </c>
    </row>
    <row r="8">
      <c r="A8" s="35" t="n">
        <v>2</v>
      </c>
      <c r="B8" s="36">
        <f>Parameters!$B$19/$A8</f>
        <v/>
      </c>
      <c r="C8" s="29">
        <f>$B8*Parameters!$B$14*Parameters!$B$7</f>
        <v/>
      </c>
      <c r="D8" s="29">
        <f>$C8+$B8*Parameters!$B$16+ROUNDUP($B8*1024/Parameters!$B$11,0)/10000*Parameters!$B$15</f>
        <v/>
      </c>
      <c r="E8" s="23" t="inlineStr">
        <is>
          <t>Conservative planning number.</t>
        </is>
      </c>
    </row>
    <row r="9">
      <c r="A9" s="35" t="n">
        <v>3</v>
      </c>
      <c r="B9" s="36">
        <f>Parameters!$B$19/$A9</f>
        <v/>
      </c>
      <c r="C9" s="29">
        <f>$B9*Parameters!$B$14*Parameters!$B$7</f>
        <v/>
      </c>
      <c r="D9" s="29">
        <f>$C9+$B9*Parameters!$B$16+ROUNDUP($B9*1024/Parameters!$B$11,0)/10000*Parameters!$B$15</f>
        <v/>
      </c>
      <c r="E9" s="23" t="inlineStr">
        <is>
          <t>Typical native .bak with COMPRESSION.</t>
        </is>
      </c>
    </row>
    <row r="10">
      <c r="A10" s="39" t="n">
        <v>4</v>
      </c>
      <c r="B10" s="40">
        <f>Parameters!$B$19/$A10</f>
        <v/>
      </c>
      <c r="C10" s="41">
        <f>$B10*Parameters!$B$14*Parameters!$B$7</f>
        <v/>
      </c>
      <c r="D10" s="41">
        <f>$C10+$B10*Parameters!$B$16+ROUNDUP($B10*1024/Parameters!$B$11,0)/10000*Parameters!$B$15</f>
        <v/>
      </c>
      <c r="E10" s="23" t="inlineStr">
        <is>
          <t>MEASURED for mixed realistic data (2026-09-10): range 3.98-4.25x across 1, 5 and 20 GB databases. Validated default. Use this if your databases hold typical structured business data.</t>
        </is>
      </c>
    </row>
    <row r="11">
      <c r="A11" s="35" t="n">
        <v>6</v>
      </c>
      <c r="B11" s="36">
        <f>Parameters!$B$19/$A11</f>
        <v/>
      </c>
      <c r="C11" s="29">
        <f>$B11*Parameters!$B$14*Parameters!$B$7</f>
        <v/>
      </c>
      <c r="D11" s="29">
        <f>$C11+$B11*Parameters!$B$16+ROUNDUP($B11*1024/Parameters!$B$11,0)/10000*Parameters!$B$15</f>
        <v/>
      </c>
      <c r="E11" s="23" t="inlineStr">
        <is>
          <t>Optimistic; text-heavy schemas with low cardinality.</t>
        </is>
      </c>
    </row>
    <row r="12">
      <c r="A12" s="35" t="n">
        <v>10</v>
      </c>
      <c r="B12" s="36">
        <f>Parameters!$B$19/$A12</f>
        <v/>
      </c>
      <c r="C12" s="29">
        <f>$B12*Parameters!$B$14*Parameters!$B$7</f>
        <v/>
      </c>
      <c r="D12" s="29">
        <f>$C12+$B12*Parameters!$B$16+ROUNDUP($B12*1024/Parameters!$B$11,0)/10000*Parameters!$B$15</f>
        <v/>
      </c>
      <c r="E12" s="23" t="inlineStr">
        <is>
          <t>Very repetitive data; unlikely in production.</t>
        </is>
      </c>
    </row>
    <row r="14">
      <c r="A14" s="4" t="inlineStr">
        <is>
          <t>Worst case vs default assumption:</t>
        </is>
      </c>
      <c r="D14" s="42">
        <f>IFERROR($D6/$D10,0)</f>
        <v/>
      </c>
    </row>
    <row r="16">
      <c r="A16" s="6" t="inlineStr">
        <is>
          <t>Yellow is the measured default (4.0x, validated for mixed realistic data on 2026-09-10). Orange is the measured incompressible floor (1.04x, random/high-entropy data). The ratio between them is the planning uncertainty: it is no longer a guess about the ratio itself, but about which data shape your databases resemble.</t>
        </is>
      </c>
    </row>
  </sheetData>
  <mergeCells count="4">
    <mergeCell ref="A2:E2"/>
    <mergeCell ref="A16:E16"/>
    <mergeCell ref="A1:E1"/>
    <mergeCell ref="A14:C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46" customWidth="1" min="1" max="1"/>
    <col width="16" customWidth="1" min="2" max="2"/>
    <col width="66" customWidth="1" min="3" max="3"/>
    <col width="16" customWidth="1" min="4" max="4"/>
    <col width="16" customWidth="1" min="5" max="5"/>
    <col width="16" customWidth="1" min="6" max="6"/>
  </cols>
  <sheetData>
    <row r="1" ht="24" customHeight="1">
      <c r="A1" s="1" t="inlineStr">
        <is>
          <t>Variant: reaching the storage account over a private endpoint</t>
        </is>
      </c>
    </row>
    <row r="2">
      <c r="A2" s="17" t="inlineStr">
        <is>
          <t>A private endpoint is not a one-off charge. It bills by the hour for as long as it exists, which changes the shape of the answer completely: for a compliance archive the endpoint can easily cost more than the data it protects. This sheet is additive; it does not alter the baseline model on the other sheets.</t>
        </is>
      </c>
    </row>
    <row r="3"/>
    <row r="5">
      <c r="A5" s="2" t="inlineStr">
        <is>
          <t>INPUTS</t>
        </is>
      </c>
    </row>
    <row r="6">
      <c r="A6" s="4" t="inlineStr">
        <is>
          <t>Number of private endpoints</t>
        </is>
      </c>
      <c r="B6" s="5" t="n">
        <v>1</v>
      </c>
      <c r="C6" s="6" t="inlineStr">
        <is>
          <t>One per storage sub-resource. Blob only = 1; blob + dfs = 2.</t>
        </is>
      </c>
    </row>
    <row r="7">
      <c r="A7" s="4" t="inlineStr">
        <is>
          <t>Endpoint lifetime (months)</t>
        </is>
      </c>
      <c r="B7" s="5" t="n">
        <v>84</v>
      </c>
      <c r="C7" s="6" t="inlineStr">
        <is>
          <t>How long the endpoint EXISTS, which is not necessarily the retention period.</t>
        </is>
      </c>
    </row>
    <row r="8">
      <c r="A8" s="4" t="inlineStr">
        <is>
          <t>Hours per month</t>
        </is>
      </c>
      <c r="B8" s="5" t="n">
        <v>730</v>
      </c>
      <c r="C8" s="6" t="inlineStr">
        <is>
          <t>Azure's standard billing month.</t>
        </is>
      </c>
    </row>
    <row r="9">
      <c r="A9" s="4" t="inlineStr">
        <is>
          <t>Dedicated private DNS zone?</t>
        </is>
      </c>
      <c r="B9" s="8" t="inlineStr">
        <is>
          <t>Yes</t>
        </is>
      </c>
      <c r="C9" s="6" t="inlineStr">
        <is>
          <t>No if you already own privatelink.blob.core.windows.net; then its marginal cost is 0.</t>
        </is>
      </c>
    </row>
    <row r="10">
      <c r="A10" s="4" t="inlineStr">
        <is>
          <t>DNS queries per month (millions)</t>
        </is>
      </c>
      <c r="B10" s="7" t="n">
        <v>0.1</v>
      </c>
      <c r="C10" s="6" t="inlineStr">
        <is>
          <t>An idle archive generates very few.</t>
        </is>
      </c>
    </row>
    <row r="11">
      <c r="A11" s="4" t="inlineStr">
        <is>
          <t>Drain traffic traverses the endpoint?</t>
        </is>
      </c>
      <c r="B11" s="8" t="inlineStr">
        <is>
          <t>No</t>
        </is>
      </c>
      <c r="C11" s="6" t="inlineStr">
        <is>
          <t>See the note at the bottom. Usually No, because the export is service-side.</t>
        </is>
      </c>
    </row>
    <row r="12">
      <c r="A12" s="4" t="inlineStr">
        <is>
          <t>Read-back traverses the endpoint?</t>
        </is>
      </c>
      <c r="B12" s="8" t="inlineStr">
        <is>
          <t>Yes</t>
        </is>
      </c>
      <c r="C12" s="6" t="inlineStr">
        <is>
          <t>If you retrieve the artifacts from inside your VNet, it does.</t>
        </is>
      </c>
    </row>
    <row r="14">
      <c r="A14" s="2" t="inlineStr">
        <is>
          <t>RATES (from the Prices sheet)</t>
        </is>
      </c>
    </row>
    <row r="15">
      <c r="A15" s="4" t="inlineStr">
        <is>
          <t>Private endpoint $/hour</t>
        </is>
      </c>
      <c r="B15" s="10">
        <f>Prices!$B$37</f>
        <v/>
      </c>
    </row>
    <row r="16">
      <c r="A16" s="4" t="inlineStr">
        <is>
          <t>Data processed, ingress $/GB</t>
        </is>
      </c>
      <c r="B16" s="10">
        <f>Prices!$B$38</f>
        <v/>
      </c>
    </row>
    <row r="17">
      <c r="A17" s="4" t="inlineStr">
        <is>
          <t>Data processed, egress $/GB</t>
        </is>
      </c>
      <c r="B17" s="10">
        <f>Prices!$B$39</f>
        <v/>
      </c>
    </row>
    <row r="18">
      <c r="A18" s="4" t="inlineStr">
        <is>
          <t>Private DNS zone $/month</t>
        </is>
      </c>
      <c r="B18" s="10">
        <f>Prices!$B$40</f>
        <v/>
      </c>
    </row>
    <row r="19">
      <c r="A19" s="4" t="inlineStr">
        <is>
          <t>Private DNS queries $/million</t>
        </is>
      </c>
      <c r="B19" s="10">
        <f>Prices!$B$41</f>
        <v/>
      </c>
    </row>
    <row r="21">
      <c r="A21" s="2" t="inlineStr">
        <is>
          <t>COSTS</t>
        </is>
      </c>
    </row>
    <row r="22">
      <c r="A22" s="4" t="inlineStr">
        <is>
          <t>Endpoint hours</t>
        </is>
      </c>
      <c r="B22" s="12">
        <f>$B$6*$B$7*$B$8*$B$15</f>
        <v/>
      </c>
      <c r="C22" s="6" t="inlineStr">
        <is>
          <t>The standing charge. Usually the largest term on this sheet.</t>
        </is>
      </c>
    </row>
    <row r="23">
      <c r="A23" s="4" t="inlineStr">
        <is>
          <t>Private DNS zone</t>
        </is>
      </c>
      <c r="B23" s="12">
        <f>IF($B$9="Yes",$B$7*$B$18,0)</f>
        <v/>
      </c>
    </row>
    <row r="24">
      <c r="A24" s="4" t="inlineStr">
        <is>
          <t>Private DNS queries</t>
        </is>
      </c>
      <c r="B24" s="12">
        <f>$B$7*$B$10*$B$19</f>
        <v/>
      </c>
    </row>
    <row r="25">
      <c r="A25" s="4" t="inlineStr">
        <is>
          <t>Data processed on the drain (ingress)</t>
        </is>
      </c>
      <c r="B25" s="12">
        <f>IF($B$11="Yes",Parameters!$B$20*$B$16,0)</f>
        <v/>
      </c>
      <c r="C25" s="6" t="inlineStr">
        <is>
          <t>Zero when the export is service-side, which is the normal case.</t>
        </is>
      </c>
    </row>
    <row r="26">
      <c r="A26" s="4" t="inlineStr">
        <is>
          <t>Data processed on one full read-back (egress)</t>
        </is>
      </c>
      <c r="B26" s="12">
        <f>IF($B$12="Yes",Parameters!$B$20*$B$17,0)</f>
        <v/>
      </c>
    </row>
    <row r="27">
      <c r="A27" s="13" t="inlineStr">
        <is>
          <t>TOTAL private endpoint add-on</t>
        </is>
      </c>
      <c r="B27" s="14">
        <f>SUM($B$22:$B$26)</f>
        <v/>
      </c>
    </row>
    <row r="29">
      <c r="A29" s="2" t="inlineStr">
        <is>
          <t>COMPARED WITH THE BASELINE</t>
        </is>
      </c>
    </row>
    <row r="30">
      <c r="A30" s="4" t="inlineStr">
        <is>
          <t>Storage-side total (from Parameters)</t>
        </is>
      </c>
      <c r="B30" s="12">
        <f>Parameters!$B$30</f>
        <v/>
      </c>
    </row>
    <row r="31">
      <c r="A31" s="4" t="inlineStr">
        <is>
          <t>Private endpoint add-on</t>
        </is>
      </c>
      <c r="B31" s="12">
        <f>$B$27</f>
        <v/>
      </c>
    </row>
    <row r="32">
      <c r="A32" s="4" t="inlineStr">
        <is>
          <t>COMBINED</t>
        </is>
      </c>
      <c r="B32" s="43">
        <f>$B$30+$B$31</f>
        <v/>
      </c>
    </row>
    <row r="33">
      <c r="A33" s="4" t="inlineStr">
        <is>
          <t>Add-on as a multiple of the storage-side cost</t>
        </is>
      </c>
      <c r="B33" s="44">
        <f>IFERROR($B$31/$B$30,0)</f>
        <v/>
      </c>
      <c r="C33" s="6" t="inlineStr">
        <is>
          <t>Above 1 means the plumbing costs more than the data.</t>
        </is>
      </c>
    </row>
    <row r="35">
      <c r="A35" s="2" t="inlineStr">
        <is>
          <t>SCENARIOS</t>
        </is>
      </c>
    </row>
    <row r="36">
      <c r="A36" s="18" t="inlineStr">
        <is>
          <t>Scenario</t>
        </is>
      </c>
      <c r="B36" s="18" t="inlineStr">
        <is>
          <t>Endpoint months</t>
        </is>
      </c>
      <c r="C36" s="18" t="inlineStr">
        <is>
          <t>Endpoint + DNS</t>
        </is>
      </c>
      <c r="D36" s="18" t="inlineStr">
        <is>
          <t>Data processed</t>
        </is>
      </c>
      <c r="E36" s="18" t="inlineStr">
        <is>
          <t>Add-on total</t>
        </is>
      </c>
      <c r="F36" s="18" t="inlineStr">
        <is>
          <t>Combined</t>
        </is>
      </c>
    </row>
    <row r="37">
      <c r="A37" s="31" t="inlineStr">
        <is>
          <t>No private endpoint at all</t>
        </is>
      </c>
      <c r="B37" s="36" t="n">
        <v>0</v>
      </c>
      <c r="C37" s="29">
        <f>$B$6*0*$B$8*$B$15+IF($B$9="Yes",0*$B$18,0)+0*$B$10*$B$19</f>
        <v/>
      </c>
      <c r="D37" s="29">
        <f>IF(0=0,0,$B$25+$B$26)</f>
        <v/>
      </c>
      <c r="E37" s="32">
        <f>$C37+$D37</f>
        <v/>
      </c>
      <c r="F37" s="29">
        <f>Parameters!$B$30+$E37</f>
        <v/>
      </c>
    </row>
    <row r="38">
      <c r="A38" s="33" t="inlineStr">
        <is>
          <t>Endpoint only during the drain (1 month)</t>
        </is>
      </c>
      <c r="B38" s="11" t="n">
        <v>1</v>
      </c>
      <c r="C38" s="12">
        <f>$B$6*1*$B$8*$B$15+IF($B$9="Yes",1*$B$18,0)+1*$B$10*$B$19</f>
        <v/>
      </c>
      <c r="D38" s="12">
        <f>IF(1=0,0,$B$25+$B$26)</f>
        <v/>
      </c>
      <c r="E38" s="34">
        <f>$C38+$D38</f>
        <v/>
      </c>
      <c r="F38" s="12">
        <f>Parameters!$B$30+$E38</f>
        <v/>
      </c>
    </row>
    <row r="39">
      <c r="A39" s="31" t="inlineStr">
        <is>
          <t>Endpoint kept for 3 months</t>
        </is>
      </c>
      <c r="B39" s="36" t="n">
        <v>3</v>
      </c>
      <c r="C39" s="29">
        <f>$B$6*3*$B$8*$B$15+IF($B$9="Yes",3*$B$18,0)+3*$B$10*$B$19</f>
        <v/>
      </c>
      <c r="D39" s="29">
        <f>IF(3=0,0,$B$25+$B$26)</f>
        <v/>
      </c>
      <c r="E39" s="32">
        <f>$C39+$D39</f>
        <v/>
      </c>
      <c r="F39" s="29">
        <f>Parameters!$B$30+$E39</f>
        <v/>
      </c>
    </row>
    <row r="40">
      <c r="A40" s="31" t="inlineStr">
        <is>
          <t>Endpoint kept for the full retention</t>
        </is>
      </c>
      <c r="B40" s="36">
        <f>$B$7</f>
        <v/>
      </c>
      <c r="C40" s="29">
        <f>$B$6*$B$7*$B$8*$B$15+IF($B$9="Yes",$B$7*$B$18,0)+$B$7*$B$10*$B$19</f>
        <v/>
      </c>
      <c r="D40" s="29">
        <f>IF($B$7=0,0,$B$25+$B$26)</f>
        <v/>
      </c>
      <c r="E40" s="32">
        <f>$C40+$D40</f>
        <v/>
      </c>
      <c r="F40" s="29">
        <f>Parameters!$B$30+$E40</f>
        <v/>
      </c>
    </row>
    <row r="42">
      <c r="A42" s="2" t="inlineStr">
        <is>
          <t>ADD-ON BY ENDPOINT LIFETIME AND COUNT</t>
        </is>
      </c>
    </row>
    <row r="43">
      <c r="A43" s="18" t="inlineStr">
        <is>
          <t>Lifetime (months) \ endpoints</t>
        </is>
      </c>
      <c r="B43" s="18" t="inlineStr">
        <is>
          <t>1</t>
        </is>
      </c>
      <c r="C43" s="18" t="inlineStr">
        <is>
          <t>2</t>
        </is>
      </c>
      <c r="D43" s="18" t="inlineStr">
        <is>
          <t>4</t>
        </is>
      </c>
      <c r="E43" s="18" t="inlineStr">
        <is>
          <t>8</t>
        </is>
      </c>
    </row>
    <row r="44">
      <c r="A44" s="45" t="n">
        <v>0</v>
      </c>
      <c r="B44" s="29">
        <f>1*0*$B$8*$B$15+IF($B$9="Yes",0*$B$18,0)+0*$B$10*$B$19+IF(0=0,0,$B$25+$B$26)</f>
        <v/>
      </c>
      <c r="C44" s="29">
        <f>2*0*$B$8*$B$15+IF($B$9="Yes",0*$B$18,0)+0*$B$10*$B$19+IF(0=0,0,$B$25+$B$26)</f>
        <v/>
      </c>
      <c r="D44" s="29">
        <f>4*0*$B$8*$B$15+IF($B$9="Yes",0*$B$18,0)+0*$B$10*$B$19+IF(0=0,0,$B$25+$B$26)</f>
        <v/>
      </c>
      <c r="E44" s="29">
        <f>8*0*$B$8*$B$15+IF($B$9="Yes",0*$B$18,0)+0*$B$10*$B$19+IF(0=0,0,$B$25+$B$26)</f>
        <v/>
      </c>
    </row>
    <row r="45">
      <c r="A45" s="45" t="n">
        <v>1</v>
      </c>
      <c r="B45" s="29">
        <f>1*1*$B$8*$B$15+IF($B$9="Yes",1*$B$18,0)+1*$B$10*$B$19+IF(1=0,0,$B$25+$B$26)</f>
        <v/>
      </c>
      <c r="C45" s="29">
        <f>2*1*$B$8*$B$15+IF($B$9="Yes",1*$B$18,0)+1*$B$10*$B$19+IF(1=0,0,$B$25+$B$26)</f>
        <v/>
      </c>
      <c r="D45" s="29">
        <f>4*1*$B$8*$B$15+IF($B$9="Yes",1*$B$18,0)+1*$B$10*$B$19+IF(1=0,0,$B$25+$B$26)</f>
        <v/>
      </c>
      <c r="E45" s="29">
        <f>8*1*$B$8*$B$15+IF($B$9="Yes",1*$B$18,0)+1*$B$10*$B$19+IF(1=0,0,$B$25+$B$26)</f>
        <v/>
      </c>
    </row>
    <row r="46">
      <c r="A46" s="45" t="n">
        <v>3</v>
      </c>
      <c r="B46" s="29">
        <f>1*3*$B$8*$B$15+IF($B$9="Yes",3*$B$18,0)+3*$B$10*$B$19+IF(3=0,0,$B$25+$B$26)</f>
        <v/>
      </c>
      <c r="C46" s="29">
        <f>2*3*$B$8*$B$15+IF($B$9="Yes",3*$B$18,0)+3*$B$10*$B$19+IF(3=0,0,$B$25+$B$26)</f>
        <v/>
      </c>
      <c r="D46" s="29">
        <f>4*3*$B$8*$B$15+IF($B$9="Yes",3*$B$18,0)+3*$B$10*$B$19+IF(3=0,0,$B$25+$B$26)</f>
        <v/>
      </c>
      <c r="E46" s="29">
        <f>8*3*$B$8*$B$15+IF($B$9="Yes",3*$B$18,0)+3*$B$10*$B$19+IF(3=0,0,$B$25+$B$26)</f>
        <v/>
      </c>
    </row>
    <row r="47">
      <c r="A47" s="45" t="n">
        <v>6</v>
      </c>
      <c r="B47" s="29">
        <f>1*6*$B$8*$B$15+IF($B$9="Yes",6*$B$18,0)+6*$B$10*$B$19+IF(6=0,0,$B$25+$B$26)</f>
        <v/>
      </c>
      <c r="C47" s="29">
        <f>2*6*$B$8*$B$15+IF($B$9="Yes",6*$B$18,0)+6*$B$10*$B$19+IF(6=0,0,$B$25+$B$26)</f>
        <v/>
      </c>
      <c r="D47" s="29">
        <f>4*6*$B$8*$B$15+IF($B$9="Yes",6*$B$18,0)+6*$B$10*$B$19+IF(6=0,0,$B$25+$B$26)</f>
        <v/>
      </c>
      <c r="E47" s="29">
        <f>8*6*$B$8*$B$15+IF($B$9="Yes",6*$B$18,0)+6*$B$10*$B$19+IF(6=0,0,$B$25+$B$26)</f>
        <v/>
      </c>
    </row>
    <row r="48">
      <c r="A48" s="45" t="n">
        <v>12</v>
      </c>
      <c r="B48" s="29">
        <f>1*12*$B$8*$B$15+IF($B$9="Yes",12*$B$18,0)+12*$B$10*$B$19+IF(12=0,0,$B$25+$B$26)</f>
        <v/>
      </c>
      <c r="C48" s="29">
        <f>2*12*$B$8*$B$15+IF($B$9="Yes",12*$B$18,0)+12*$B$10*$B$19+IF(12=0,0,$B$25+$B$26)</f>
        <v/>
      </c>
      <c r="D48" s="29">
        <f>4*12*$B$8*$B$15+IF($B$9="Yes",12*$B$18,0)+12*$B$10*$B$19+IF(12=0,0,$B$25+$B$26)</f>
        <v/>
      </c>
      <c r="E48" s="29">
        <f>8*12*$B$8*$B$15+IF($B$9="Yes",12*$B$18,0)+12*$B$10*$B$19+IF(12=0,0,$B$25+$B$26)</f>
        <v/>
      </c>
    </row>
    <row r="49">
      <c r="A49" s="45" t="n">
        <v>24</v>
      </c>
      <c r="B49" s="29">
        <f>1*24*$B$8*$B$15+IF($B$9="Yes",24*$B$18,0)+24*$B$10*$B$19+IF(24=0,0,$B$25+$B$26)</f>
        <v/>
      </c>
      <c r="C49" s="29">
        <f>2*24*$B$8*$B$15+IF($B$9="Yes",24*$B$18,0)+24*$B$10*$B$19+IF(24=0,0,$B$25+$B$26)</f>
        <v/>
      </c>
      <c r="D49" s="29">
        <f>4*24*$B$8*$B$15+IF($B$9="Yes",24*$B$18,0)+24*$B$10*$B$19+IF(24=0,0,$B$25+$B$26)</f>
        <v/>
      </c>
      <c r="E49" s="29">
        <f>8*24*$B$8*$B$15+IF($B$9="Yes",24*$B$18,0)+24*$B$10*$B$19+IF(24=0,0,$B$25+$B$26)</f>
        <v/>
      </c>
    </row>
    <row r="50">
      <c r="A50" s="45" t="n">
        <v>60</v>
      </c>
      <c r="B50" s="29">
        <f>1*60*$B$8*$B$15+IF($B$9="Yes",60*$B$18,0)+60*$B$10*$B$19+IF(60=0,0,$B$25+$B$26)</f>
        <v/>
      </c>
      <c r="C50" s="29">
        <f>2*60*$B$8*$B$15+IF($B$9="Yes",60*$B$18,0)+60*$B$10*$B$19+IF(60=0,0,$B$25+$B$26)</f>
        <v/>
      </c>
      <c r="D50" s="29">
        <f>4*60*$B$8*$B$15+IF($B$9="Yes",60*$B$18,0)+60*$B$10*$B$19+IF(60=0,0,$B$25+$B$26)</f>
        <v/>
      </c>
      <c r="E50" s="29">
        <f>8*60*$B$8*$B$15+IF($B$9="Yes",60*$B$18,0)+60*$B$10*$B$19+IF(60=0,0,$B$25+$B$26)</f>
        <v/>
      </c>
    </row>
    <row r="51">
      <c r="A51" s="45" t="n">
        <v>84</v>
      </c>
      <c r="B51" s="29">
        <f>1*84*$B$8*$B$15+IF($B$9="Yes",84*$B$18,0)+84*$B$10*$B$19+IF(84=0,0,$B$25+$B$26)</f>
        <v/>
      </c>
      <c r="C51" s="29">
        <f>2*84*$B$8*$B$15+IF($B$9="Yes",84*$B$18,0)+84*$B$10*$B$19+IF(84=0,0,$B$25+$B$26)</f>
        <v/>
      </c>
      <c r="D51" s="29">
        <f>4*84*$B$8*$B$15+IF($B$9="Yes",84*$B$18,0)+84*$B$10*$B$19+IF(84=0,0,$B$25+$B$26)</f>
        <v/>
      </c>
      <c r="E51" s="29">
        <f>8*84*$B$8*$B$15+IF($B$9="Yes",84*$B$18,0)+84*$B$10*$B$19+IF(84=0,0,$B$25+$B$26)</f>
        <v/>
      </c>
    </row>
    <row r="53">
      <c r="A53" s="2" t="inlineStr">
        <is>
          <t>Why the drain usually does NOT cross the endpoint:</t>
        </is>
      </c>
      <c r="B53" s="17" t="inlineStr">
        <is>
          <t>'az sql db export' and the Managed Instance 'BACKUP TO URL' statement are executed by the SQL service itself, not by a machine in your VNet, so the write does not traverse your private endpoint and is not charged as data processed. The toggle above exists because it does traverse the endpoint if you stage the artifacts through your own VM or self-hosted sqlpackage.</t>
        </is>
      </c>
    </row>
    <row r="54"/>
    <row r="55">
      <c r="A55" s="2" t="inlineStr">
        <is>
          <t>The trap this creates:</t>
        </is>
      </c>
      <c r="B55" s="17" t="inlineStr">
        <is>
          <t>If you lock the storage account to private endpoints only, that same service-side write is BLOCKED. You need the 'Allow trusted Microsoft services' network exception, or a resource-instance rule scoped to the SQL server or instance. Otherwise the drain fails and the private endpoint is not the reason you would expect.</t>
        </is>
      </c>
    </row>
    <row r="56"/>
    <row r="57">
      <c r="A57" s="2" t="inlineStr">
        <is>
          <t>The actionable conclusion:</t>
        </is>
      </c>
      <c r="B57" s="17" t="inlineStr">
        <is>
          <t>Do not leave the endpoint running for the retention period. Create it for the drain, delete it, and re-create it in minutes on the day someone actually needs to read the archive. A deleted endpoint costs nothing, and the blobs are unaffected.</t>
        </is>
      </c>
    </row>
    <row r="58"/>
    <row r="59">
      <c r="A59" s="2" t="inlineStr">
        <is>
          <t>Not modelled here:</t>
        </is>
      </c>
      <c r="B59" s="17" t="inlineStr">
        <is>
          <t>The VNet itself, any VM you stage through, and any VPN or ExpressRoute gateway you need to reach the endpoint from on-premises. A gateway starts around $0.19/hour, which dwarfs everything on this sheet. If you need one purely for this, model it separately and it will change your conclusion.</t>
        </is>
      </c>
    </row>
    <row r="60"/>
  </sheetData>
  <mergeCells count="6">
    <mergeCell ref="B57:F58"/>
    <mergeCell ref="A2:F3"/>
    <mergeCell ref="B55:F56"/>
    <mergeCell ref="A1:F1"/>
    <mergeCell ref="B59:F60"/>
    <mergeCell ref="B53:F54"/>
  </mergeCells>
  <dataValidations count="3">
    <dataValidation sqref="B9" showDropDown="0" showInputMessage="0" showErrorMessage="0" allowBlank="0" type="list">
      <formula1>"Yes,No"</formula1>
    </dataValidation>
    <dataValidation sqref="B11" showDropDown="0" showInputMessage="0" showErrorMessage="0" allowBlank="0" type="list">
      <formula1>"Yes,No"</formula1>
    </dataValidation>
    <dataValidation sqref="B12"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2026-09-10T09:53:42Z</dcterms:created>
  <dcterms:modified xmlns:dcterms="http://purl.org/dc/terms/" xmlns:xsi="http://www.w3.org/2001/XMLSchema-instance" xsi:type="dcterms:W3CDTF">2026-09-10T09:53:43Z</dcterms:modified>
</cp:coreProperties>
</file>